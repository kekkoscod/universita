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xr:revisionPtr revIDLastSave="10" documentId="11_E68FA9B172C5982916FF5AB321314CD6F509EE3E" xr6:coauthVersionLast="47" xr6:coauthVersionMax="47" xr10:uidLastSave="{7EAECEA0-C2D0-5C21-A4A9-EC98E99D1A4E}"/>
  <bookViews>
    <workbookView xWindow="0" yWindow="0" windowWidth="16384" windowHeight="8192" tabRatio="500" firstSheet="1" activeTab="1" xr2:uid="{00000000-000D-0000-FFFF-FFFF00000000}"/>
  </bookViews>
  <sheets>
    <sheet name="Voti" sheetId="1" state="hidden" r:id="rId1"/>
    <sheet name="Pu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13" i="2" l="1"/>
  <c r="B14" i="2"/>
  <c r="M54" i="1"/>
  <c r="N54" i="1" s="1"/>
  <c r="B32" i="2" s="1"/>
  <c r="M53" i="1"/>
  <c r="N53" i="1" s="1"/>
  <c r="M52" i="1"/>
  <c r="N52" i="1" s="1"/>
  <c r="B18" i="2" s="1"/>
  <c r="M51" i="1"/>
  <c r="N51" i="1" s="1"/>
  <c r="B7" i="2" s="1"/>
  <c r="M50" i="1"/>
  <c r="N50" i="1" s="1"/>
  <c r="B53" i="2" s="1"/>
  <c r="M49" i="1"/>
  <c r="N49" i="1" s="1"/>
  <c r="B5" i="2" s="1"/>
  <c r="M48" i="1"/>
  <c r="N48" i="1" s="1"/>
  <c r="B31" i="2" s="1"/>
  <c r="M47" i="1"/>
  <c r="N47" i="1" s="1"/>
  <c r="B28" i="2" s="1"/>
  <c r="M46" i="1"/>
  <c r="N46" i="1" s="1"/>
  <c r="B4" i="2" s="1"/>
  <c r="M45" i="1"/>
  <c r="N45" i="1" s="1"/>
  <c r="B3" i="2" s="1"/>
  <c r="M44" i="1"/>
  <c r="N44" i="1" s="1"/>
  <c r="B38" i="2" s="1"/>
  <c r="M43" i="1"/>
  <c r="N43" i="1" s="1"/>
  <c r="B27" i="2" s="1"/>
  <c r="M42" i="1"/>
  <c r="N42" i="1" s="1"/>
  <c r="B50" i="2" s="1"/>
  <c r="M41" i="1"/>
  <c r="N41" i="1" s="1"/>
  <c r="B34" i="2" s="1"/>
  <c r="M40" i="1"/>
  <c r="N40" i="1" s="1"/>
  <c r="B49" i="2" s="1"/>
  <c r="M39" i="1"/>
  <c r="N39" i="1" s="1"/>
  <c r="B8" i="2" s="1"/>
  <c r="M38" i="1"/>
  <c r="N38" i="1" s="1"/>
  <c r="B2" i="2" s="1"/>
  <c r="M37" i="1"/>
  <c r="N37" i="1" s="1"/>
  <c r="B39" i="2" s="1"/>
  <c r="M36" i="1"/>
  <c r="N36" i="1" s="1"/>
  <c r="B20" i="2" s="1"/>
  <c r="M35" i="1"/>
  <c r="N35" i="1" s="1"/>
  <c r="B37" i="2" s="1"/>
  <c r="M34" i="1"/>
  <c r="N34" i="1" s="1"/>
  <c r="B43" i="2" s="1"/>
  <c r="M33" i="1"/>
  <c r="N33" i="1" s="1"/>
  <c r="B40" i="2" s="1"/>
  <c r="M32" i="1"/>
  <c r="N32" i="1" s="1"/>
  <c r="B23" i="2" s="1"/>
  <c r="M31" i="1"/>
  <c r="N31" i="1" s="1"/>
  <c r="B42" i="2" s="1"/>
  <c r="M30" i="1"/>
  <c r="N30" i="1" s="1"/>
  <c r="B54" i="2" s="1"/>
  <c r="M29" i="1"/>
  <c r="N29" i="1" s="1"/>
  <c r="B51" i="2" s="1"/>
  <c r="M28" i="1"/>
  <c r="N28" i="1" s="1"/>
  <c r="B30" i="2" s="1"/>
  <c r="M27" i="1"/>
  <c r="N27" i="1" s="1"/>
  <c r="B26" i="2" s="1"/>
  <c r="M26" i="1"/>
  <c r="N26" i="1" s="1"/>
  <c r="B24" i="2" s="1"/>
  <c r="M25" i="1"/>
  <c r="N25" i="1" s="1"/>
  <c r="B33" i="2" s="1"/>
  <c r="M24" i="1"/>
  <c r="N24" i="1" s="1"/>
  <c r="B52" i="2" s="1"/>
  <c r="M23" i="1"/>
  <c r="N23" i="1" s="1"/>
  <c r="B16" i="2" s="1"/>
  <c r="M22" i="1"/>
  <c r="N22" i="1" s="1"/>
  <c r="B41" i="2" s="1"/>
  <c r="M21" i="1"/>
  <c r="N21" i="1" s="1"/>
  <c r="B46" i="2" s="1"/>
  <c r="M20" i="1"/>
  <c r="N20" i="1" s="1"/>
  <c r="B21" i="2" s="1"/>
  <c r="M19" i="1"/>
  <c r="N19" i="1" s="1"/>
  <c r="B36" i="2" s="1"/>
  <c r="M18" i="1"/>
  <c r="N18" i="1" s="1"/>
  <c r="M17" i="1"/>
  <c r="N17" i="1" s="1"/>
  <c r="B22" i="2" s="1"/>
  <c r="M16" i="1"/>
  <c r="N16" i="1" s="1"/>
  <c r="B10" i="2" s="1"/>
  <c r="M15" i="1"/>
  <c r="N15" i="1" s="1"/>
  <c r="B35" i="2" s="1"/>
  <c r="M14" i="1"/>
  <c r="N14" i="1" s="1"/>
  <c r="B44" i="2" s="1"/>
  <c r="M13" i="1"/>
  <c r="N13" i="1" s="1"/>
  <c r="B6" i="2" s="1"/>
  <c r="M12" i="1"/>
  <c r="N12" i="1" s="1"/>
  <c r="B17" i="2" s="1"/>
  <c r="M11" i="1"/>
  <c r="N11" i="1" s="1"/>
  <c r="B47" i="2" s="1"/>
  <c r="M10" i="1"/>
  <c r="N10" i="1" s="1"/>
  <c r="B19" i="2" s="1"/>
  <c r="M9" i="1"/>
  <c r="N9" i="1" s="1"/>
  <c r="B25" i="2" s="1"/>
  <c r="M8" i="1"/>
  <c r="N8" i="1" s="1"/>
  <c r="B48" i="2" s="1"/>
  <c r="M7" i="1"/>
  <c r="N7" i="1" s="1"/>
  <c r="B9" i="2" s="1"/>
  <c r="M6" i="1"/>
  <c r="N6" i="1" s="1"/>
  <c r="B15" i="2" s="1"/>
  <c r="M5" i="1"/>
  <c r="N5" i="1" s="1"/>
  <c r="B29" i="2" s="1"/>
  <c r="M4" i="1"/>
  <c r="N4" i="1" s="1"/>
  <c r="B45" i="2" s="1"/>
  <c r="M3" i="1"/>
  <c r="N3" i="1" s="1"/>
  <c r="B12" i="2" s="1"/>
  <c r="M2" i="1"/>
  <c r="N60" i="1" l="1"/>
  <c r="N2" i="1"/>
  <c r="B11" i="2" l="1"/>
  <c r="N61" i="1"/>
</calcChain>
</file>

<file path=xl/sharedStrings.xml><?xml version="1.0" encoding="utf-8"?>
<sst xmlns="http://schemas.openxmlformats.org/spreadsheetml/2006/main" count="288" uniqueCount="212">
  <si>
    <t>Nome</t>
  </si>
  <si>
    <t>Cognome</t>
  </si>
  <si>
    <t>Numero di matricola</t>
  </si>
  <si>
    <t>D1 (6)</t>
  </si>
  <si>
    <t>D2 (5)</t>
  </si>
  <si>
    <t>D3 (5)</t>
  </si>
  <si>
    <t>D4 (5)</t>
  </si>
  <si>
    <t>D5 (6)</t>
  </si>
  <si>
    <t>D6 (3)</t>
  </si>
  <si>
    <t>TOT.</t>
  </si>
  <si>
    <t>TOT. ARR.</t>
  </si>
  <si>
    <t>ASIA FATIMA PARADISO</t>
  </si>
  <si>
    <t>Paradiso</t>
  </si>
  <si>
    <t>Asia Fatima</t>
  </si>
  <si>
    <t>N86005472</t>
  </si>
  <si>
    <t>ALESSANDRA PISA</t>
  </si>
  <si>
    <t>Pisa</t>
  </si>
  <si>
    <t>Alessandra</t>
  </si>
  <si>
    <t>N86005479</t>
  </si>
  <si>
    <t>ALESSANDRO SALZANO</t>
  </si>
  <si>
    <t>Salzano</t>
  </si>
  <si>
    <t>Alessandro</t>
  </si>
  <si>
    <t>N86005732</t>
  </si>
  <si>
    <t>ALESSANDRO SORRENTINO</t>
  </si>
  <si>
    <t>Sorrentino</t>
  </si>
  <si>
    <t>N86005583</t>
  </si>
  <si>
    <t>ALFREDO SPINOSA</t>
  </si>
  <si>
    <t>Spinosa</t>
  </si>
  <si>
    <t>Alfredo</t>
  </si>
  <si>
    <t>N86005488</t>
  </si>
  <si>
    <t>ANDREA PIROZZI</t>
  </si>
  <si>
    <t>Pirozzi</t>
  </si>
  <si>
    <t>Andrea</t>
  </si>
  <si>
    <t>N86005460</t>
  </si>
  <si>
    <t>ARTEM PRYKHODKO</t>
  </si>
  <si>
    <t>Prykhodko</t>
  </si>
  <si>
    <t>Artem</t>
  </si>
  <si>
    <t>N86005753</t>
  </si>
  <si>
    <t>CHRISTIAN PETRUCCI</t>
  </si>
  <si>
    <t>Petrucci</t>
  </si>
  <si>
    <t>Christian</t>
  </si>
  <si>
    <t>N86005552</t>
  </si>
  <si>
    <t>CHRISTIAN PICCIRILLO</t>
  </si>
  <si>
    <t>Piccirillo</t>
  </si>
  <si>
    <t>N86005503</t>
  </si>
  <si>
    <t>CIRO ZOTTOLO</t>
  </si>
  <si>
    <t>Zottolo</t>
  </si>
  <si>
    <t>Ciro</t>
  </si>
  <si>
    <t>N86005745</t>
  </si>
  <si>
    <t>CLAUDIO JUNIOR NARRETTI</t>
  </si>
  <si>
    <t xml:space="preserve">Narretti </t>
  </si>
  <si>
    <t>Claudio Junior</t>
  </si>
  <si>
    <t>N86005495</t>
  </si>
  <si>
    <t>DANIELE SIBILLA</t>
  </si>
  <si>
    <t>Sibilla</t>
  </si>
  <si>
    <t>Daniele</t>
  </si>
  <si>
    <t>N86005427</t>
  </si>
  <si>
    <t>DAVIDE ALEXANDER PUCA</t>
  </si>
  <si>
    <t>Puca</t>
  </si>
  <si>
    <t>Davide</t>
  </si>
  <si>
    <t>N86005725</t>
  </si>
  <si>
    <t>DMYTRO PYLYPIV</t>
  </si>
  <si>
    <t>Pylypiv</t>
  </si>
  <si>
    <t xml:space="preserve">Dmytro </t>
  </si>
  <si>
    <t>N86005664</t>
  </si>
  <si>
    <t>EMILIO PINTO</t>
  </si>
  <si>
    <t>Pinto</t>
  </si>
  <si>
    <t>Emilio</t>
  </si>
  <si>
    <t>N86005469</t>
  </si>
  <si>
    <t>EMMANUELE PREZIOSO</t>
  </si>
  <si>
    <t>Prezioso</t>
  </si>
  <si>
    <t>Emmanuele</t>
  </si>
  <si>
    <t>N86005530</t>
  </si>
  <si>
    <t>FABIO ROSIELLO</t>
  </si>
  <si>
    <t>Rosiello</t>
  </si>
  <si>
    <t>Fabio</t>
  </si>
  <si>
    <t>N86005482</t>
  </si>
  <si>
    <t>FABIO PALMIERI</t>
  </si>
  <si>
    <t>Palmieri</t>
  </si>
  <si>
    <t xml:space="preserve">Fabio </t>
  </si>
  <si>
    <t>N86005665</t>
  </si>
  <si>
    <t>FILIPPO SACCO</t>
  </si>
  <si>
    <t>Sacco</t>
  </si>
  <si>
    <t>Filippo</t>
  </si>
  <si>
    <t>N86005527</t>
  </si>
  <si>
    <t>FRANCESCO RAIMO</t>
  </si>
  <si>
    <t>Raimo</t>
  </si>
  <si>
    <t>Francesco</t>
  </si>
  <si>
    <t>N86005736</t>
  </si>
  <si>
    <t>FRANCESCO RONCA</t>
  </si>
  <si>
    <t>Ronca</t>
  </si>
  <si>
    <t>N86005712</t>
  </si>
  <si>
    <t>FRANCESCO PIO PARAGLIOLA</t>
  </si>
  <si>
    <t>Paragliola</t>
  </si>
  <si>
    <t>Francesco Pio</t>
  </si>
  <si>
    <t xml:space="preserve">N86005491 </t>
  </si>
  <si>
    <t>FRANCESCO PIO PERROTTA</t>
  </si>
  <si>
    <t>Perrotta</t>
  </si>
  <si>
    <t>N86005816</t>
  </si>
  <si>
    <t>FRANCO ANIELLO ORICCHIO</t>
  </si>
  <si>
    <t>Oricchio</t>
  </si>
  <si>
    <t>Franco Aniello</t>
  </si>
  <si>
    <t>N86005632</t>
  </si>
  <si>
    <t>GIOVANNI PETRELLA</t>
  </si>
  <si>
    <t>Petrella</t>
  </si>
  <si>
    <t>Giovanni</t>
  </si>
  <si>
    <t>N86005547</t>
  </si>
  <si>
    <t>GIUSEPPE PAESANO</t>
  </si>
  <si>
    <t>Paesano</t>
  </si>
  <si>
    <t>Giuseppe</t>
  </si>
  <si>
    <t>N86005558</t>
  </si>
  <si>
    <t>GIUSEPPE RICCARDI</t>
  </si>
  <si>
    <t>Riccardi</t>
  </si>
  <si>
    <t>N86005587</t>
  </si>
  <si>
    <t>GIUSEPPE RUSSO</t>
  </si>
  <si>
    <t>Russo</t>
  </si>
  <si>
    <t>N86005813</t>
  </si>
  <si>
    <t>GIUSEPPE STRIANO</t>
  </si>
  <si>
    <t>Striano</t>
  </si>
  <si>
    <t>N86005849</t>
  </si>
  <si>
    <t>KRISTIAN SAPONARO</t>
  </si>
  <si>
    <t>Saponaro</t>
  </si>
  <si>
    <t>Kristian</t>
  </si>
  <si>
    <t>N86005723</t>
  </si>
  <si>
    <t>LARA RUSSO</t>
  </si>
  <si>
    <t xml:space="preserve">Russo </t>
  </si>
  <si>
    <t>Lara</t>
  </si>
  <si>
    <t>N86005540</t>
  </si>
  <si>
    <t>LENNY RUSCIANO</t>
  </si>
  <si>
    <t>Rusciano</t>
  </si>
  <si>
    <t>Lenny</t>
  </si>
  <si>
    <t>N86005704</t>
  </si>
  <si>
    <t>LIBERATO SANNINO</t>
  </si>
  <si>
    <t>Sannino</t>
  </si>
  <si>
    <t>Liberato</t>
  </si>
  <si>
    <t>N86005724</t>
  </si>
  <si>
    <t>LORENZO ROSSI</t>
  </si>
  <si>
    <t>Rossi</t>
  </si>
  <si>
    <t>Lorenzo</t>
  </si>
  <si>
    <t>N86005673</t>
  </si>
  <si>
    <t>LUCA PATRUNO</t>
  </si>
  <si>
    <t>Patruno</t>
  </si>
  <si>
    <t>Luca</t>
  </si>
  <si>
    <t>N86005513</t>
  </si>
  <si>
    <t>LUIGI RAIOLA</t>
  </si>
  <si>
    <t xml:space="preserve">raiola </t>
  </si>
  <si>
    <t xml:space="preserve">luigi </t>
  </si>
  <si>
    <t>N86005694</t>
  </si>
  <si>
    <t>MATTIA PERNA</t>
  </si>
  <si>
    <t>PERNA</t>
  </si>
  <si>
    <t>MATTIA</t>
  </si>
  <si>
    <t>N86005414</t>
  </si>
  <si>
    <t>MATTIA STAVOLO</t>
  </si>
  <si>
    <t>Stavolo</t>
  </si>
  <si>
    <t>Mattia</t>
  </si>
  <si>
    <t>N86005456</t>
  </si>
  <si>
    <t>NUNZIA PALUMBO</t>
  </si>
  <si>
    <t>palumbo</t>
  </si>
  <si>
    <t xml:space="preserve">nunzia </t>
  </si>
  <si>
    <t>N86005758</t>
  </si>
  <si>
    <t>ONOFRIO VINCENZO SCHIAVONE</t>
  </si>
  <si>
    <t xml:space="preserve">Schiavone </t>
  </si>
  <si>
    <t>Onofrio Vincenzo</t>
  </si>
  <si>
    <t>N86005646</t>
  </si>
  <si>
    <t>ANTONIO PIGNATIELLO</t>
  </si>
  <si>
    <t>Antonio</t>
  </si>
  <si>
    <t>Pignatiello</t>
  </si>
  <si>
    <t>N86005776</t>
  </si>
  <si>
    <t>RAFFAELE SCHETTINO</t>
  </si>
  <si>
    <t>Schettino</t>
  </si>
  <si>
    <t>Raffaele</t>
  </si>
  <si>
    <t>N86005571</t>
  </si>
  <si>
    <t>ROCCO SAVIANO</t>
  </si>
  <si>
    <t>Saviano</t>
  </si>
  <si>
    <t>Rocco</t>
  </si>
  <si>
    <t>N86005682</t>
  </si>
  <si>
    <t>ROSARIO VALENTINO</t>
  </si>
  <si>
    <t>Valentino</t>
  </si>
  <si>
    <t>Rosario</t>
  </si>
  <si>
    <t>N86005416</t>
  </si>
  <si>
    <t>SALVATORE RUSSO</t>
  </si>
  <si>
    <t>Rusao</t>
  </si>
  <si>
    <t>Salvatore</t>
  </si>
  <si>
    <t>N86005419</t>
  </si>
  <si>
    <t>SALVATORE STARITA</t>
  </si>
  <si>
    <t>Starita</t>
  </si>
  <si>
    <t>N86005576</t>
  </si>
  <si>
    <t>SALVATORE PASSARELLI</t>
  </si>
  <si>
    <t>Salvatore Passarelli</t>
  </si>
  <si>
    <t>N86005596</t>
  </si>
  <si>
    <t>SIMONA NOZZOLILLO</t>
  </si>
  <si>
    <t>Nozzolillo</t>
  </si>
  <si>
    <t>Simona</t>
  </si>
  <si>
    <t>N86005425</t>
  </si>
  <si>
    <t>SIMONA VENERUSO</t>
  </si>
  <si>
    <t>Veneruso</t>
  </si>
  <si>
    <t>N86005824</t>
  </si>
  <si>
    <t>VINCENZO TUMMOLILLO</t>
  </si>
  <si>
    <t>Tummolillo</t>
  </si>
  <si>
    <t>Vincenzo</t>
  </si>
  <si>
    <t>N86005441</t>
  </si>
  <si>
    <t>SAMUELE SPERANZA</t>
  </si>
  <si>
    <t>Samuele</t>
  </si>
  <si>
    <t>Speranza</t>
  </si>
  <si>
    <t>N86005500</t>
  </si>
  <si>
    <t>MATTIA PISCOPO</t>
  </si>
  <si>
    <t>N86005484</t>
  </si>
  <si>
    <t>GIOVANNI PAOLO PICCOLO</t>
  </si>
  <si>
    <t>N86005627</t>
  </si>
  <si>
    <t>CONSEGNATI</t>
  </si>
  <si>
    <t>MEDIA</t>
  </si>
  <si>
    <t>Voto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</si>
</sst>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name val="Arial"/>
      <family val="2"/>
    </font>
    <font>
      <b/>
      <sz val="10"/>
      <name val="Arial"/>
      <family val="2"/>
    </font>
    <font>
      <b/>
      <sz val="10"/>
      <color rgb="FF530260"/>
      <name val="Arial"/>
      <family val="2"/>
    </font>
    <font>
      <b/>
      <sz val="10"/>
      <color rgb="FF0369A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F4C6"/>
        <bgColor rgb="FFCCFFFF"/>
      </patternFill>
    </fill>
    <fill>
      <patternFill patternType="solid">
        <fgColor rgb="FFF5CD53"/>
        <bgColor rgb="FFFFD74C"/>
      </patternFill>
    </fill>
    <fill>
      <patternFill patternType="solid">
        <fgColor rgb="FFF2CBF8"/>
        <bgColor rgb="FFC0C0C0"/>
      </patternFill>
    </fill>
    <fill>
      <patternFill patternType="solid">
        <fgColor rgb="FFC0C0C0"/>
        <bgColor rgb="FFAADCF7"/>
      </patternFill>
    </fill>
    <fill>
      <patternFill patternType="solid">
        <fgColor rgb="FFAADCF7"/>
        <bgColor rgb="FFC0C0C0"/>
      </patternFill>
    </fill>
    <fill>
      <patternFill patternType="solid">
        <fgColor rgb="FF92E285"/>
        <bgColor rgb="FFAADCF7"/>
      </patternFill>
    </fill>
    <fill>
      <patternFill patternType="solid">
        <fgColor rgb="FFFFD74C"/>
        <bgColor rgb="FFF5CD53"/>
      </patternFill>
    </fill>
  </fills>
  <borders count="4">
    <border>
      <left/>
      <right/>
      <top/>
      <bottom/>
      <diagonal/>
    </border>
    <border>
      <left style="thin">
        <color rgb="FF530260"/>
      </left>
      <right style="thin">
        <color rgb="FF530260"/>
      </right>
      <top style="thin">
        <color rgb="FF530260"/>
      </top>
      <bottom style="thin">
        <color rgb="FF530260"/>
      </bottom>
      <diagonal/>
    </border>
    <border>
      <left style="hair">
        <color rgb="FFC9211E"/>
      </left>
      <right style="hair">
        <color rgb="FFC9211E"/>
      </right>
      <top style="hair">
        <color rgb="FFC9211E"/>
      </top>
      <bottom style="hair">
        <color rgb="FFC9211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0" borderId="1" xfId="0" applyNumberFormat="1" applyBorder="1"/>
    <xf numFmtId="164" fontId="2" fillId="5" borderId="1" xfId="0" applyNumberFormat="1" applyFont="1" applyFill="1" applyBorder="1"/>
    <xf numFmtId="0" fontId="2" fillId="6" borderId="1" xfId="0" applyFont="1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0" fontId="2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3" fillId="4" borderId="3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530260"/>
      <rgbColor rgb="FFFF8080"/>
      <rgbColor rgb="FF0369A3"/>
      <rgbColor rgb="FFF2CB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AADCF7"/>
      <rgbColor rgb="FFFF99CC"/>
      <rgbColor rgb="FFCC99FF"/>
      <rgbColor rgb="FFF5CD53"/>
      <rgbColor rgb="FF3366FF"/>
      <rgbColor rgb="FF33CCCC"/>
      <rgbColor rgb="FF92E285"/>
      <rgbColor rgb="FFFFD74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61"/>
  <sheetViews>
    <sheetView zoomScaleNormal="100" workbookViewId="0">
      <selection activeCell="F27" sqref="F27"/>
    </sheetView>
  </sheetViews>
  <sheetFormatPr defaultColWidth="11.5703125" defaultRowHeight="12.75"/>
  <cols>
    <col min="3" max="3" width="32.28515625" customWidth="1"/>
    <col min="4" max="4" width="18.85546875" customWidth="1"/>
    <col min="5" max="5" width="20.28515625" customWidth="1"/>
    <col min="6" max="6" width="18.85546875" customWidth="1"/>
    <col min="13" max="13" width="12.7109375" customWidth="1"/>
    <col min="14" max="14" width="13.140625" customWidth="1"/>
  </cols>
  <sheetData>
    <row r="1" spans="3:14">
      <c r="C1" s="1" t="s">
        <v>0</v>
      </c>
      <c r="D1" s="1" t="s">
        <v>0</v>
      </c>
      <c r="E1" s="1" t="s">
        <v>1</v>
      </c>
      <c r="F1" s="1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3:14">
      <c r="C2" s="3" t="s">
        <v>11</v>
      </c>
      <c r="D2" s="4" t="s">
        <v>12</v>
      </c>
      <c r="E2" s="4" t="s">
        <v>13</v>
      </c>
      <c r="F2" s="5" t="s">
        <v>14</v>
      </c>
      <c r="G2" s="6">
        <v>5.5</v>
      </c>
      <c r="H2" s="6">
        <v>5</v>
      </c>
      <c r="I2" s="6">
        <v>4</v>
      </c>
      <c r="J2" s="6">
        <v>3.5</v>
      </c>
      <c r="K2" s="6">
        <v>6</v>
      </c>
      <c r="L2" s="6">
        <v>2.5</v>
      </c>
      <c r="M2" s="7">
        <f>SUM(G2:L2)</f>
        <v>26.5</v>
      </c>
      <c r="N2" s="8">
        <f>IF($M2=0,"N/A",IF(_xlfn.CEILING.MATH($M2)&lt;18,"INSUFF.",_xlfn.CEILING.MATH($M2)))</f>
        <v>27</v>
      </c>
    </row>
    <row r="3" spans="3:14">
      <c r="C3" s="3" t="s">
        <v>15</v>
      </c>
      <c r="D3" s="4" t="s">
        <v>16</v>
      </c>
      <c r="E3" s="4" t="s">
        <v>17</v>
      </c>
      <c r="F3" s="5" t="s">
        <v>18</v>
      </c>
      <c r="G3" s="6">
        <v>6</v>
      </c>
      <c r="H3" s="6">
        <v>5</v>
      </c>
      <c r="I3" s="6">
        <v>5</v>
      </c>
      <c r="J3" s="6">
        <v>5</v>
      </c>
      <c r="K3" s="6">
        <v>6</v>
      </c>
      <c r="L3" s="6">
        <v>2</v>
      </c>
      <c r="M3" s="7">
        <f>SUM(G3:L3)</f>
        <v>29</v>
      </c>
      <c r="N3" s="8">
        <f>IF($M3=0,"N/A",IF(_xlfn.CEILING.MATH($M3)&lt;18,"INSUFF.",_xlfn.CEILING.MATH($M3)))</f>
        <v>29</v>
      </c>
    </row>
    <row r="4" spans="3:14">
      <c r="C4" s="3" t="s">
        <v>19</v>
      </c>
      <c r="D4" s="4" t="s">
        <v>20</v>
      </c>
      <c r="E4" s="4" t="s">
        <v>21</v>
      </c>
      <c r="F4" s="5" t="s">
        <v>22</v>
      </c>
      <c r="G4" s="6">
        <v>5.5</v>
      </c>
      <c r="H4" s="6">
        <v>5</v>
      </c>
      <c r="I4" s="6">
        <v>4.5</v>
      </c>
      <c r="J4" s="6">
        <v>5</v>
      </c>
      <c r="K4" s="6">
        <v>2</v>
      </c>
      <c r="L4" s="6"/>
      <c r="M4" s="7">
        <f>SUM(G4:L4)</f>
        <v>22</v>
      </c>
      <c r="N4" s="8">
        <f>IF($M4=0,"N/A",IF(_xlfn.CEILING.MATH($M4)&lt;18,"INSUFF.",_xlfn.CEILING.MATH($M4)))</f>
        <v>22</v>
      </c>
    </row>
    <row r="5" spans="3:14">
      <c r="C5" s="3" t="s">
        <v>23</v>
      </c>
      <c r="D5" s="4" t="s">
        <v>24</v>
      </c>
      <c r="E5" s="4" t="s">
        <v>21</v>
      </c>
      <c r="F5" s="5" t="s">
        <v>25</v>
      </c>
      <c r="G5" s="6">
        <v>4</v>
      </c>
      <c r="H5" s="6"/>
      <c r="I5" s="6"/>
      <c r="J5" s="6"/>
      <c r="K5" s="6">
        <v>2</v>
      </c>
      <c r="L5" s="6">
        <v>2</v>
      </c>
      <c r="M5" s="7">
        <f>SUM(G5:L5)</f>
        <v>8</v>
      </c>
      <c r="N5" s="8" t="str">
        <f>IF($M5=0,"N/A",IF(_xlfn.CEILING.MATH($M5)&lt;18,"INSUFF.",_xlfn.CEILING.MATH($M5)))</f>
        <v>INSUFF.</v>
      </c>
    </row>
    <row r="6" spans="3:14">
      <c r="C6" s="3" t="s">
        <v>26</v>
      </c>
      <c r="D6" s="4" t="s">
        <v>27</v>
      </c>
      <c r="E6" s="4" t="s">
        <v>28</v>
      </c>
      <c r="F6" s="5" t="s">
        <v>29</v>
      </c>
      <c r="G6" s="6"/>
      <c r="H6" s="6"/>
      <c r="I6" s="6"/>
      <c r="J6" s="6"/>
      <c r="K6" s="6"/>
      <c r="L6" s="6"/>
      <c r="M6" s="7">
        <f>SUM(G6:L6)</f>
        <v>0</v>
      </c>
      <c r="N6" s="8" t="str">
        <f>IF($M6=0,"N/A",IF(_xlfn.CEILING.MATH($M6)&lt;18,"INSUFF.",_xlfn.CEILING.MATH($M6)))</f>
        <v>N/A</v>
      </c>
    </row>
    <row r="7" spans="3:14">
      <c r="C7" s="3" t="s">
        <v>30</v>
      </c>
      <c r="D7" s="4" t="s">
        <v>31</v>
      </c>
      <c r="E7" s="4" t="s">
        <v>32</v>
      </c>
      <c r="F7" s="5" t="s">
        <v>33</v>
      </c>
      <c r="G7" s="6">
        <v>4</v>
      </c>
      <c r="H7" s="6"/>
      <c r="I7" s="6">
        <v>5</v>
      </c>
      <c r="J7" s="6">
        <v>4</v>
      </c>
      <c r="K7" s="6">
        <v>6</v>
      </c>
      <c r="L7" s="6"/>
      <c r="M7" s="7">
        <f>SUM(G7:L7)</f>
        <v>19</v>
      </c>
      <c r="N7" s="8">
        <f>IF($M7=0,"N/A",IF(_xlfn.CEILING.MATH($M7)&lt;18,"INSUFF.",_xlfn.CEILING.MATH($M7)))</f>
        <v>19</v>
      </c>
    </row>
    <row r="8" spans="3:14">
      <c r="C8" s="3" t="s">
        <v>34</v>
      </c>
      <c r="D8" s="4" t="s">
        <v>35</v>
      </c>
      <c r="E8" s="4" t="s">
        <v>36</v>
      </c>
      <c r="F8" s="5" t="s">
        <v>37</v>
      </c>
      <c r="G8" s="6">
        <v>2</v>
      </c>
      <c r="H8" s="6"/>
      <c r="I8" s="6">
        <v>2.5</v>
      </c>
      <c r="J8" s="6">
        <v>5</v>
      </c>
      <c r="K8" s="6">
        <v>6</v>
      </c>
      <c r="L8" s="6">
        <v>3</v>
      </c>
      <c r="M8" s="7">
        <f>SUM(G8:L8)</f>
        <v>18.5</v>
      </c>
      <c r="N8" s="8">
        <f>IF($M8=0,"N/A",IF(_xlfn.CEILING.MATH($M8)&lt;18,"INSUFF.",_xlfn.CEILING.MATH($M8)))</f>
        <v>19</v>
      </c>
    </row>
    <row r="9" spans="3:14">
      <c r="C9" s="3" t="s">
        <v>38</v>
      </c>
      <c r="D9" s="4" t="s">
        <v>39</v>
      </c>
      <c r="E9" s="4" t="s">
        <v>40</v>
      </c>
      <c r="F9" s="5" t="s">
        <v>41</v>
      </c>
      <c r="G9" s="6">
        <v>5</v>
      </c>
      <c r="H9" s="6">
        <v>5</v>
      </c>
      <c r="I9" s="6">
        <v>5</v>
      </c>
      <c r="J9" s="6">
        <v>5</v>
      </c>
      <c r="K9" s="6">
        <v>6</v>
      </c>
      <c r="L9" s="6"/>
      <c r="M9" s="7">
        <f>SUM(G9:L9)</f>
        <v>26</v>
      </c>
      <c r="N9" s="8">
        <f>IF($M9=0,"N/A",IF(_xlfn.CEILING.MATH($M9)&lt;18,"INSUFF.",_xlfn.CEILING.MATH($M9)))</f>
        <v>26</v>
      </c>
    </row>
    <row r="10" spans="3:14">
      <c r="C10" s="3" t="s">
        <v>42</v>
      </c>
      <c r="D10" s="4" t="s">
        <v>43</v>
      </c>
      <c r="E10" s="4" t="s">
        <v>40</v>
      </c>
      <c r="F10" s="5" t="s">
        <v>44</v>
      </c>
      <c r="G10" s="6">
        <v>5.5</v>
      </c>
      <c r="H10" s="6">
        <v>5</v>
      </c>
      <c r="I10" s="6">
        <v>5</v>
      </c>
      <c r="J10" s="6">
        <v>4</v>
      </c>
      <c r="K10" s="6">
        <v>6</v>
      </c>
      <c r="L10" s="6"/>
      <c r="M10" s="7">
        <f>SUM(G10:L10)</f>
        <v>25.5</v>
      </c>
      <c r="N10" s="8">
        <f>IF($M10=0,"N/A",IF(_xlfn.CEILING.MATH($M10)&lt;18,"INSUFF.",_xlfn.CEILING.MATH($M10)))</f>
        <v>26</v>
      </c>
    </row>
    <row r="11" spans="3:14">
      <c r="C11" s="3" t="s">
        <v>45</v>
      </c>
      <c r="D11" s="4" t="s">
        <v>46</v>
      </c>
      <c r="E11" s="4" t="s">
        <v>47</v>
      </c>
      <c r="F11" s="5" t="s">
        <v>48</v>
      </c>
      <c r="G11" s="6">
        <v>4.5</v>
      </c>
      <c r="H11" s="6">
        <v>4</v>
      </c>
      <c r="I11" s="6">
        <v>3.5</v>
      </c>
      <c r="J11" s="6">
        <v>4.5</v>
      </c>
      <c r="K11" s="6">
        <v>4</v>
      </c>
      <c r="L11" s="6">
        <v>2</v>
      </c>
      <c r="M11" s="7">
        <f>SUM(G11:L11)</f>
        <v>22.5</v>
      </c>
      <c r="N11" s="8">
        <f>IF($M11=0,"N/A",IF(_xlfn.CEILING.MATH($M11)&lt;18,"INSUFF.",_xlfn.CEILING.MATH($M11)))</f>
        <v>23</v>
      </c>
    </row>
    <row r="12" spans="3:14">
      <c r="C12" s="3" t="s">
        <v>49</v>
      </c>
      <c r="D12" s="4" t="s">
        <v>50</v>
      </c>
      <c r="E12" s="4" t="s">
        <v>51</v>
      </c>
      <c r="F12" s="5" t="s">
        <v>52</v>
      </c>
      <c r="G12" s="6">
        <v>5</v>
      </c>
      <c r="H12" s="6">
        <v>5</v>
      </c>
      <c r="I12" s="6">
        <v>5</v>
      </c>
      <c r="J12" s="6">
        <v>5</v>
      </c>
      <c r="K12" s="6"/>
      <c r="L12" s="6"/>
      <c r="M12" s="7">
        <f>SUM(G12:L12)</f>
        <v>20</v>
      </c>
      <c r="N12" s="8">
        <f>IF($M12=0,"N/A",IF(_xlfn.CEILING.MATH($M12)&lt;18,"INSUFF.",_xlfn.CEILING.MATH($M12)))</f>
        <v>20</v>
      </c>
    </row>
    <row r="13" spans="3:14">
      <c r="C13" s="3" t="s">
        <v>53</v>
      </c>
      <c r="D13" s="4" t="s">
        <v>54</v>
      </c>
      <c r="E13" s="4" t="s">
        <v>55</v>
      </c>
      <c r="F13" s="5" t="s">
        <v>56</v>
      </c>
      <c r="G13" s="6">
        <v>5.5</v>
      </c>
      <c r="H13" s="6">
        <v>4.5</v>
      </c>
      <c r="I13" s="6">
        <v>2</v>
      </c>
      <c r="J13" s="6">
        <v>4</v>
      </c>
      <c r="K13" s="6">
        <v>6</v>
      </c>
      <c r="L13" s="6">
        <v>3</v>
      </c>
      <c r="M13" s="7">
        <f>SUM(G13:L13)</f>
        <v>25</v>
      </c>
      <c r="N13" s="8">
        <f>IF($M13=0,"N/A",IF(_xlfn.CEILING.MATH($M13)&lt;18,"INSUFF.",_xlfn.CEILING.MATH($M13)))</f>
        <v>25</v>
      </c>
    </row>
    <row r="14" spans="3:14">
      <c r="C14" s="3" t="s">
        <v>57</v>
      </c>
      <c r="D14" s="4" t="s">
        <v>58</v>
      </c>
      <c r="E14" s="4" t="s">
        <v>59</v>
      </c>
      <c r="F14" s="5" t="s">
        <v>60</v>
      </c>
      <c r="G14" s="6">
        <v>5</v>
      </c>
      <c r="H14" s="6">
        <v>5</v>
      </c>
      <c r="I14" s="6">
        <v>3.5</v>
      </c>
      <c r="J14" s="6">
        <v>3</v>
      </c>
      <c r="K14" s="6">
        <v>6</v>
      </c>
      <c r="L14" s="6"/>
      <c r="M14" s="7">
        <f>SUM(G14:L14)</f>
        <v>22.5</v>
      </c>
      <c r="N14" s="8">
        <f>IF($M14=0,"N/A",IF(_xlfn.CEILING.MATH($M14)&lt;18,"INSUFF.",_xlfn.CEILING.MATH($M14)))</f>
        <v>23</v>
      </c>
    </row>
    <row r="15" spans="3:14">
      <c r="C15" s="3" t="s">
        <v>61</v>
      </c>
      <c r="D15" s="4" t="s">
        <v>62</v>
      </c>
      <c r="E15" s="4" t="s">
        <v>63</v>
      </c>
      <c r="F15" s="5" t="s">
        <v>64</v>
      </c>
      <c r="G15" s="6">
        <v>1.5</v>
      </c>
      <c r="H15" s="6">
        <v>4.5</v>
      </c>
      <c r="I15" s="6">
        <v>4</v>
      </c>
      <c r="J15" s="6">
        <v>3.5</v>
      </c>
      <c r="K15" s="6">
        <v>6</v>
      </c>
      <c r="L15" s="6"/>
      <c r="M15" s="7">
        <f>SUM(G15:L15)</f>
        <v>19.5</v>
      </c>
      <c r="N15" s="8">
        <f>IF($M15=0,"N/A",IF(_xlfn.CEILING.MATH($M15)&lt;18,"INSUFF.",_xlfn.CEILING.MATH($M15)))</f>
        <v>20</v>
      </c>
    </row>
    <row r="16" spans="3:14">
      <c r="C16" s="3" t="s">
        <v>65</v>
      </c>
      <c r="D16" s="4" t="s">
        <v>66</v>
      </c>
      <c r="E16" s="4" t="s">
        <v>67</v>
      </c>
      <c r="F16" s="5" t="s">
        <v>68</v>
      </c>
      <c r="G16" s="6">
        <v>5.5</v>
      </c>
      <c r="H16" s="6">
        <v>5</v>
      </c>
      <c r="I16" s="6">
        <v>3</v>
      </c>
      <c r="J16" s="6">
        <v>3</v>
      </c>
      <c r="K16" s="6">
        <v>5.5</v>
      </c>
      <c r="L16" s="6">
        <v>2</v>
      </c>
      <c r="M16" s="7">
        <f>SUM(G16:L16)</f>
        <v>24</v>
      </c>
      <c r="N16" s="8">
        <f>IF($M16=0,"N/A",IF(_xlfn.CEILING.MATH($M16)&lt;18,"INSUFF.",_xlfn.CEILING.MATH($M16)))</f>
        <v>24</v>
      </c>
    </row>
    <row r="17" spans="3:14">
      <c r="C17" s="3" t="s">
        <v>69</v>
      </c>
      <c r="D17" s="4" t="s">
        <v>70</v>
      </c>
      <c r="E17" s="4" t="s">
        <v>71</v>
      </c>
      <c r="F17" s="5" t="s">
        <v>72</v>
      </c>
      <c r="G17" s="6">
        <v>4</v>
      </c>
      <c r="H17" s="6">
        <v>4.5</v>
      </c>
      <c r="I17" s="6">
        <v>5</v>
      </c>
      <c r="J17" s="6">
        <v>5</v>
      </c>
      <c r="K17" s="6">
        <v>6</v>
      </c>
      <c r="L17" s="6">
        <v>3</v>
      </c>
      <c r="M17" s="7">
        <f>SUM(G17:L17)</f>
        <v>27.5</v>
      </c>
      <c r="N17" s="8">
        <f>IF($M17=0,"N/A",IF(_xlfn.CEILING.MATH($M17)&lt;18,"INSUFF.",_xlfn.CEILING.MATH($M17)))</f>
        <v>28</v>
      </c>
    </row>
    <row r="18" spans="3:14">
      <c r="C18" s="3" t="s">
        <v>73</v>
      </c>
      <c r="D18" s="4" t="s">
        <v>74</v>
      </c>
      <c r="E18" s="4" t="s">
        <v>75</v>
      </c>
      <c r="F18" s="5" t="s">
        <v>76</v>
      </c>
      <c r="G18" s="6">
        <v>6</v>
      </c>
      <c r="H18" s="6">
        <v>5</v>
      </c>
      <c r="I18" s="6">
        <v>4</v>
      </c>
      <c r="J18" s="6">
        <v>3.5</v>
      </c>
      <c r="K18" s="6"/>
      <c r="L18" s="6">
        <v>6</v>
      </c>
      <c r="M18" s="7">
        <f>SUM(G18:L18)</f>
        <v>24.5</v>
      </c>
      <c r="N18" s="8">
        <f>IF($M18=0,"N/A",IF(_xlfn.CEILING.MATH($M18)&lt;18,"INSUFF.",_xlfn.CEILING.MATH($M18)))</f>
        <v>25</v>
      </c>
    </row>
    <row r="19" spans="3:14">
      <c r="C19" s="3" t="s">
        <v>77</v>
      </c>
      <c r="D19" s="4" t="s">
        <v>78</v>
      </c>
      <c r="E19" s="4" t="s">
        <v>79</v>
      </c>
      <c r="F19" s="5" t="s">
        <v>80</v>
      </c>
      <c r="G19" s="6">
        <v>4</v>
      </c>
      <c r="H19" s="6">
        <v>4.5</v>
      </c>
      <c r="I19" s="6">
        <v>4</v>
      </c>
      <c r="J19" s="6">
        <v>2.5</v>
      </c>
      <c r="K19" s="6">
        <v>4</v>
      </c>
      <c r="L19" s="6">
        <v>3</v>
      </c>
      <c r="M19" s="7">
        <f>SUM(G19:L19)</f>
        <v>22</v>
      </c>
      <c r="N19" s="8">
        <f>IF($M19=0,"N/A",IF(_xlfn.CEILING.MATH($M19)&lt;18,"INSUFF.",_xlfn.CEILING.MATH($M19)))</f>
        <v>22</v>
      </c>
    </row>
    <row r="20" spans="3:14">
      <c r="C20" s="3" t="s">
        <v>81</v>
      </c>
      <c r="D20" s="4" t="s">
        <v>82</v>
      </c>
      <c r="E20" s="4" t="s">
        <v>83</v>
      </c>
      <c r="F20" s="5" t="s">
        <v>84</v>
      </c>
      <c r="G20" s="6">
        <v>4.5</v>
      </c>
      <c r="H20" s="6">
        <v>5</v>
      </c>
      <c r="I20" s="6">
        <v>4</v>
      </c>
      <c r="J20" s="6">
        <v>5</v>
      </c>
      <c r="K20" s="6">
        <v>5.5</v>
      </c>
      <c r="L20" s="6">
        <v>1</v>
      </c>
      <c r="M20" s="7">
        <f>SUM(G20:L20)</f>
        <v>25</v>
      </c>
      <c r="N20" s="8">
        <f>IF($M20=0,"N/A",IF(_xlfn.CEILING.MATH($M20)&lt;18,"INSUFF.",_xlfn.CEILING.MATH($M20)))</f>
        <v>25</v>
      </c>
    </row>
    <row r="21" spans="3:14">
      <c r="C21" s="3" t="s">
        <v>85</v>
      </c>
      <c r="D21" s="4" t="s">
        <v>86</v>
      </c>
      <c r="E21" s="4" t="s">
        <v>87</v>
      </c>
      <c r="F21" s="5" t="s">
        <v>88</v>
      </c>
      <c r="G21" s="6">
        <v>6</v>
      </c>
      <c r="H21" s="6">
        <v>5</v>
      </c>
      <c r="I21" s="6">
        <v>5</v>
      </c>
      <c r="J21" s="6">
        <v>5</v>
      </c>
      <c r="K21" s="6">
        <v>6</v>
      </c>
      <c r="L21" s="6">
        <v>3</v>
      </c>
      <c r="M21" s="7">
        <f>SUM(G21:L21)</f>
        <v>30</v>
      </c>
      <c r="N21" s="8">
        <f>IF($M21=0,"N/A",IF(_xlfn.CEILING.MATH($M21)&lt;18,"INSUFF.",_xlfn.CEILING.MATH($M21)))</f>
        <v>30</v>
      </c>
    </row>
    <row r="22" spans="3:14">
      <c r="C22" s="3" t="s">
        <v>89</v>
      </c>
      <c r="D22" s="4" t="s">
        <v>90</v>
      </c>
      <c r="E22" s="4" t="s">
        <v>87</v>
      </c>
      <c r="F22" s="5" t="s">
        <v>91</v>
      </c>
      <c r="G22" s="6">
        <v>4.5</v>
      </c>
      <c r="H22" s="6"/>
      <c r="I22" s="6">
        <v>4.5</v>
      </c>
      <c r="J22" s="6">
        <v>4</v>
      </c>
      <c r="K22" s="6">
        <v>6</v>
      </c>
      <c r="L22" s="6">
        <v>2.5</v>
      </c>
      <c r="M22" s="7">
        <f>SUM(G22:L22)</f>
        <v>21.5</v>
      </c>
      <c r="N22" s="8">
        <f>IF($M22=0,"N/A",IF(_xlfn.CEILING.MATH($M22)&lt;18,"INSUFF.",_xlfn.CEILING.MATH($M22)))</f>
        <v>22</v>
      </c>
    </row>
    <row r="23" spans="3:14">
      <c r="C23" s="3" t="s">
        <v>92</v>
      </c>
      <c r="D23" s="4" t="s">
        <v>93</v>
      </c>
      <c r="E23" s="4" t="s">
        <v>94</v>
      </c>
      <c r="F23" s="5" t="s">
        <v>95</v>
      </c>
      <c r="G23" s="6">
        <v>6</v>
      </c>
      <c r="H23" s="6">
        <v>5</v>
      </c>
      <c r="I23" s="6">
        <v>5</v>
      </c>
      <c r="J23" s="6"/>
      <c r="K23" s="6">
        <v>5</v>
      </c>
      <c r="L23" s="6"/>
      <c r="M23" s="7">
        <f>SUM(G23:L23)</f>
        <v>21</v>
      </c>
      <c r="N23" s="8">
        <f>IF($M23=0,"N/A",IF(_xlfn.CEILING.MATH($M23)&lt;18,"INSUFF.",_xlfn.CEILING.MATH($M23)))</f>
        <v>21</v>
      </c>
    </row>
    <row r="24" spans="3:14">
      <c r="C24" s="3" t="s">
        <v>96</v>
      </c>
      <c r="D24" s="4" t="s">
        <v>94</v>
      </c>
      <c r="E24" s="4" t="s">
        <v>97</v>
      </c>
      <c r="F24" s="5" t="s">
        <v>98</v>
      </c>
      <c r="G24" s="6">
        <v>5.5</v>
      </c>
      <c r="H24" s="6">
        <v>4.5</v>
      </c>
      <c r="I24" s="6">
        <v>2</v>
      </c>
      <c r="J24" s="6">
        <v>2</v>
      </c>
      <c r="K24" s="6">
        <v>2.5</v>
      </c>
      <c r="L24" s="6">
        <v>1</v>
      </c>
      <c r="M24" s="7">
        <f>SUM(G24:L24)</f>
        <v>17.5</v>
      </c>
      <c r="N24" s="8">
        <f>IF($M24=0,"N/A",IF(_xlfn.CEILING.MATH($M24)&lt;18,"INSUFF.",_xlfn.CEILING.MATH($M24)))</f>
        <v>18</v>
      </c>
    </row>
    <row r="25" spans="3:14">
      <c r="C25" s="3" t="s">
        <v>99</v>
      </c>
      <c r="D25" s="4" t="s">
        <v>100</v>
      </c>
      <c r="E25" s="4" t="s">
        <v>101</v>
      </c>
      <c r="F25" s="5" t="s">
        <v>102</v>
      </c>
      <c r="G25" s="6">
        <v>1</v>
      </c>
      <c r="H25" s="6">
        <v>0</v>
      </c>
      <c r="I25" s="6"/>
      <c r="J25" s="6">
        <v>5</v>
      </c>
      <c r="K25" s="6"/>
      <c r="L25" s="6">
        <v>3</v>
      </c>
      <c r="M25" s="7">
        <f>SUM(G25:L25)</f>
        <v>9</v>
      </c>
      <c r="N25" s="8" t="str">
        <f>IF($M25=0,"N/A",IF(_xlfn.CEILING.MATH($M25)&lt;18,"INSUFF.",_xlfn.CEILING.MATH($M25)))</f>
        <v>INSUFF.</v>
      </c>
    </row>
    <row r="26" spans="3:14">
      <c r="C26" s="3" t="s">
        <v>103</v>
      </c>
      <c r="D26" s="4" t="s">
        <v>104</v>
      </c>
      <c r="E26" s="4" t="s">
        <v>105</v>
      </c>
      <c r="F26" s="5" t="s">
        <v>106</v>
      </c>
      <c r="G26" s="6">
        <v>6</v>
      </c>
      <c r="H26" s="6">
        <v>5</v>
      </c>
      <c r="I26" s="6">
        <v>4.5</v>
      </c>
      <c r="J26" s="6">
        <v>4</v>
      </c>
      <c r="K26" s="6">
        <v>6</v>
      </c>
      <c r="L26" s="6"/>
      <c r="M26" s="7">
        <f>SUM(G26:L26)</f>
        <v>25.5</v>
      </c>
      <c r="N26" s="8">
        <f>IF($M26=0,"N/A",IF(_xlfn.CEILING.MATH($M26)&lt;18,"INSUFF.",_xlfn.CEILING.MATH($M26)))</f>
        <v>26</v>
      </c>
    </row>
    <row r="27" spans="3:14">
      <c r="C27" s="3" t="s">
        <v>107</v>
      </c>
      <c r="D27" s="4" t="s">
        <v>108</v>
      </c>
      <c r="E27" s="4" t="s">
        <v>109</v>
      </c>
      <c r="F27" s="5" t="s">
        <v>110</v>
      </c>
      <c r="G27" s="6">
        <v>6</v>
      </c>
      <c r="H27" s="6">
        <v>5</v>
      </c>
      <c r="I27" s="6">
        <v>3.5</v>
      </c>
      <c r="J27" s="6">
        <v>3.5</v>
      </c>
      <c r="K27" s="6">
        <v>6</v>
      </c>
      <c r="L27" s="6"/>
      <c r="M27" s="7">
        <f>SUM(G27:L27)</f>
        <v>24</v>
      </c>
      <c r="N27" s="8">
        <f>IF($M27=0,"N/A",IF(_xlfn.CEILING.MATH($M27)&lt;18,"INSUFF.",_xlfn.CEILING.MATH($M27)))</f>
        <v>24</v>
      </c>
    </row>
    <row r="28" spans="3:14">
      <c r="C28" s="3" t="s">
        <v>111</v>
      </c>
      <c r="D28" s="4" t="s">
        <v>112</v>
      </c>
      <c r="E28" s="4" t="s">
        <v>109</v>
      </c>
      <c r="F28" s="5" t="s">
        <v>113</v>
      </c>
      <c r="G28" s="6">
        <v>4</v>
      </c>
      <c r="H28" s="6">
        <v>5</v>
      </c>
      <c r="I28" s="6">
        <v>4.5</v>
      </c>
      <c r="J28" s="6">
        <v>2</v>
      </c>
      <c r="K28" s="6"/>
      <c r="L28" s="6">
        <v>1</v>
      </c>
      <c r="M28" s="7">
        <f>SUM(G28:L28)</f>
        <v>16.5</v>
      </c>
      <c r="N28" s="8" t="str">
        <f>IF($M28=0,"N/A",IF(_xlfn.CEILING.MATH($M28)&lt;18,"INSUFF.",_xlfn.CEILING.MATH($M28)))</f>
        <v>INSUFF.</v>
      </c>
    </row>
    <row r="29" spans="3:14">
      <c r="C29" s="3" t="s">
        <v>114</v>
      </c>
      <c r="D29" s="4" t="s">
        <v>115</v>
      </c>
      <c r="E29" s="4" t="s">
        <v>109</v>
      </c>
      <c r="F29" s="5" t="s">
        <v>116</v>
      </c>
      <c r="G29" s="6">
        <v>4.5</v>
      </c>
      <c r="H29" s="6">
        <v>2.5</v>
      </c>
      <c r="I29" s="6">
        <v>3.5</v>
      </c>
      <c r="J29" s="6">
        <v>2.5</v>
      </c>
      <c r="K29" s="6">
        <v>6</v>
      </c>
      <c r="L29" s="6">
        <v>2.5</v>
      </c>
      <c r="M29" s="7">
        <f>SUM(G29:L29)</f>
        <v>21.5</v>
      </c>
      <c r="N29" s="8">
        <f>IF($M29=0,"N/A",IF(_xlfn.CEILING.MATH($M29)&lt;18,"INSUFF.",_xlfn.CEILING.MATH($M29)))</f>
        <v>22</v>
      </c>
    </row>
    <row r="30" spans="3:14">
      <c r="C30" s="3" t="s">
        <v>117</v>
      </c>
      <c r="D30" s="4" t="s">
        <v>118</v>
      </c>
      <c r="E30" s="4" t="s">
        <v>109</v>
      </c>
      <c r="F30" s="5" t="s">
        <v>119</v>
      </c>
      <c r="G30" s="6">
        <v>4</v>
      </c>
      <c r="H30" s="6">
        <v>5</v>
      </c>
      <c r="I30" s="6">
        <v>2.5</v>
      </c>
      <c r="J30" s="6">
        <v>3</v>
      </c>
      <c r="K30" s="6">
        <v>6</v>
      </c>
      <c r="L30" s="6">
        <v>3</v>
      </c>
      <c r="M30" s="7">
        <f>SUM(G30:L30)</f>
        <v>23.5</v>
      </c>
      <c r="N30" s="8">
        <f>IF($M30=0,"N/A",IF(_xlfn.CEILING.MATH($M30)&lt;18,"INSUFF.",_xlfn.CEILING.MATH($M30)))</f>
        <v>24</v>
      </c>
    </row>
    <row r="31" spans="3:14">
      <c r="C31" s="3" t="s">
        <v>120</v>
      </c>
      <c r="D31" s="4" t="s">
        <v>121</v>
      </c>
      <c r="E31" s="4" t="s">
        <v>122</v>
      </c>
      <c r="F31" s="5" t="s">
        <v>123</v>
      </c>
      <c r="G31" s="6">
        <v>5.5</v>
      </c>
      <c r="H31" s="6">
        <v>1</v>
      </c>
      <c r="I31" s="6">
        <v>4.5</v>
      </c>
      <c r="J31" s="6">
        <v>3.5</v>
      </c>
      <c r="K31" s="6">
        <v>6</v>
      </c>
      <c r="L31" s="6">
        <v>1</v>
      </c>
      <c r="M31" s="7">
        <f>SUM(G31:L31)</f>
        <v>21.5</v>
      </c>
      <c r="N31" s="8">
        <f>IF($M31=0,"N/A",IF(_xlfn.CEILING.MATH($M31)&lt;18,"INSUFF.",_xlfn.CEILING.MATH($M31)))</f>
        <v>22</v>
      </c>
    </row>
    <row r="32" spans="3:14">
      <c r="C32" s="3" t="s">
        <v>124</v>
      </c>
      <c r="D32" s="4" t="s">
        <v>125</v>
      </c>
      <c r="E32" s="4" t="s">
        <v>126</v>
      </c>
      <c r="F32" s="5" t="s">
        <v>127</v>
      </c>
      <c r="G32" s="6">
        <v>4.5</v>
      </c>
      <c r="H32" s="6">
        <v>5</v>
      </c>
      <c r="I32" s="6">
        <v>4.5</v>
      </c>
      <c r="J32" s="6">
        <v>3</v>
      </c>
      <c r="K32" s="6"/>
      <c r="L32" s="6"/>
      <c r="M32" s="7">
        <f>SUM(G32:L32)</f>
        <v>17</v>
      </c>
      <c r="N32" s="8" t="str">
        <f>IF($M32=0,"N/A",IF(_xlfn.CEILING.MATH($M32)&lt;18,"INSUFF.",_xlfn.CEILING.MATH($M32)))</f>
        <v>INSUFF.</v>
      </c>
    </row>
    <row r="33" spans="3:14">
      <c r="C33" s="3" t="s">
        <v>128</v>
      </c>
      <c r="D33" s="4" t="s">
        <v>129</v>
      </c>
      <c r="E33" s="4" t="s">
        <v>130</v>
      </c>
      <c r="F33" s="5" t="s">
        <v>131</v>
      </c>
      <c r="G33" s="6"/>
      <c r="H33" s="6"/>
      <c r="I33" s="6">
        <v>5</v>
      </c>
      <c r="J33" s="6">
        <v>4</v>
      </c>
      <c r="K33" s="6">
        <v>5.5</v>
      </c>
      <c r="L33" s="6">
        <v>3</v>
      </c>
      <c r="M33" s="7">
        <f>SUM(G33:L33)</f>
        <v>17.5</v>
      </c>
      <c r="N33" s="8">
        <f>IF($M33=0,"N/A",IF(_xlfn.CEILING.MATH($M33)&lt;18,"INSUFF.",_xlfn.CEILING.MATH($M33)))</f>
        <v>18</v>
      </c>
    </row>
    <row r="34" spans="3:14">
      <c r="C34" s="3" t="s">
        <v>132</v>
      </c>
      <c r="D34" s="4" t="s">
        <v>133</v>
      </c>
      <c r="E34" s="4" t="s">
        <v>134</v>
      </c>
      <c r="F34" s="5" t="s">
        <v>135</v>
      </c>
      <c r="G34" s="6"/>
      <c r="H34" s="6"/>
      <c r="I34" s="6"/>
      <c r="J34" s="6"/>
      <c r="K34" s="6"/>
      <c r="L34" s="6"/>
      <c r="M34" s="7">
        <f>SUM(G34:L34)</f>
        <v>0</v>
      </c>
      <c r="N34" s="8" t="str">
        <f>IF($M34=0,"N/A",IF(_xlfn.CEILING.MATH($M34)&lt;18,"INSUFF.",_xlfn.CEILING.MATH($M34)))</f>
        <v>N/A</v>
      </c>
    </row>
    <row r="35" spans="3:14">
      <c r="C35" s="3" t="s">
        <v>136</v>
      </c>
      <c r="D35" s="4" t="s">
        <v>137</v>
      </c>
      <c r="E35" s="4" t="s">
        <v>138</v>
      </c>
      <c r="F35" s="5" t="s">
        <v>139</v>
      </c>
      <c r="G35" s="6">
        <v>5</v>
      </c>
      <c r="H35" s="6">
        <v>5</v>
      </c>
      <c r="I35" s="6">
        <v>5</v>
      </c>
      <c r="J35" s="6">
        <v>4.5</v>
      </c>
      <c r="K35" s="6">
        <v>6</v>
      </c>
      <c r="L35" s="6">
        <v>2.5</v>
      </c>
      <c r="M35" s="7">
        <f>SUM(G35:L35)</f>
        <v>28</v>
      </c>
      <c r="N35" s="8">
        <f>IF($M35=0,"N/A",IF(_xlfn.CEILING.MATH($M35)&lt;18,"INSUFF.",_xlfn.CEILING.MATH($M35)))</f>
        <v>28</v>
      </c>
    </row>
    <row r="36" spans="3:14">
      <c r="C36" s="3" t="s">
        <v>140</v>
      </c>
      <c r="D36" s="4" t="s">
        <v>141</v>
      </c>
      <c r="E36" s="4" t="s">
        <v>142</v>
      </c>
      <c r="F36" s="5" t="s">
        <v>143</v>
      </c>
      <c r="G36" s="6"/>
      <c r="H36" s="6"/>
      <c r="I36" s="6"/>
      <c r="J36" s="6"/>
      <c r="K36" s="6"/>
      <c r="L36" s="6"/>
      <c r="M36" s="7">
        <f>SUM(G36:L36)</f>
        <v>0</v>
      </c>
      <c r="N36" s="8" t="str">
        <f>IF($M36=0,"N/A",IF(_xlfn.CEILING.MATH($M36)&lt;18,"INSUFF.",_xlfn.CEILING.MATH($M36)))</f>
        <v>N/A</v>
      </c>
    </row>
    <row r="37" spans="3:14">
      <c r="C37" s="3" t="s">
        <v>144</v>
      </c>
      <c r="D37" s="4" t="s">
        <v>145</v>
      </c>
      <c r="E37" s="4" t="s">
        <v>146</v>
      </c>
      <c r="F37" s="5" t="s">
        <v>147</v>
      </c>
      <c r="G37" s="6"/>
      <c r="H37" s="6"/>
      <c r="I37" s="6"/>
      <c r="J37" s="6"/>
      <c r="K37" s="6"/>
      <c r="L37" s="6"/>
      <c r="M37" s="7">
        <f>SUM(G37:L37)</f>
        <v>0</v>
      </c>
      <c r="N37" s="8" t="str">
        <f>IF($M37=0,"N/A",IF(_xlfn.CEILING.MATH($M37)&lt;18,"INSUFF.",_xlfn.CEILING.MATH($M37)))</f>
        <v>N/A</v>
      </c>
    </row>
    <row r="38" spans="3:14">
      <c r="C38" s="3" t="s">
        <v>148</v>
      </c>
      <c r="D38" s="4" t="s">
        <v>149</v>
      </c>
      <c r="E38" s="4" t="s">
        <v>150</v>
      </c>
      <c r="F38" s="5" t="s">
        <v>151</v>
      </c>
      <c r="G38" s="6">
        <v>5</v>
      </c>
      <c r="H38" s="6">
        <v>5</v>
      </c>
      <c r="I38" s="6">
        <v>3.5</v>
      </c>
      <c r="J38" s="6">
        <v>2.5</v>
      </c>
      <c r="K38" s="6">
        <v>6</v>
      </c>
      <c r="L38" s="6"/>
      <c r="M38" s="7">
        <f>SUM(G38:L38)</f>
        <v>22</v>
      </c>
      <c r="N38" s="8">
        <f>IF($M38=0,"N/A",IF(_xlfn.CEILING.MATH($M38)&lt;18,"INSUFF.",_xlfn.CEILING.MATH($M38)))</f>
        <v>22</v>
      </c>
    </row>
    <row r="39" spans="3:14">
      <c r="C39" s="3" t="s">
        <v>152</v>
      </c>
      <c r="D39" s="4" t="s">
        <v>153</v>
      </c>
      <c r="E39" s="4" t="s">
        <v>154</v>
      </c>
      <c r="F39" s="5" t="s">
        <v>155</v>
      </c>
      <c r="G39" s="6">
        <v>2</v>
      </c>
      <c r="H39" s="6">
        <v>5</v>
      </c>
      <c r="I39" s="6">
        <v>4</v>
      </c>
      <c r="J39" s="6">
        <v>6</v>
      </c>
      <c r="K39" s="6">
        <v>3.5</v>
      </c>
      <c r="L39" s="6">
        <v>2.5</v>
      </c>
      <c r="M39" s="7">
        <f>SUM(G39:L39)</f>
        <v>23</v>
      </c>
      <c r="N39" s="8">
        <f>IF($M39=0,"N/A",IF(_xlfn.CEILING.MATH($M39)&lt;18,"INSUFF.",_xlfn.CEILING.MATH($M39)))</f>
        <v>23</v>
      </c>
    </row>
    <row r="40" spans="3:14">
      <c r="C40" s="3" t="s">
        <v>156</v>
      </c>
      <c r="D40" s="4" t="s">
        <v>157</v>
      </c>
      <c r="E40" s="4" t="s">
        <v>158</v>
      </c>
      <c r="F40" s="5" t="s">
        <v>159</v>
      </c>
      <c r="G40" s="6">
        <v>6</v>
      </c>
      <c r="H40" s="6">
        <v>5</v>
      </c>
      <c r="I40" s="6">
        <v>5</v>
      </c>
      <c r="J40" s="6">
        <v>5</v>
      </c>
      <c r="K40" s="6">
        <v>6</v>
      </c>
      <c r="L40" s="6">
        <v>3</v>
      </c>
      <c r="M40" s="7">
        <f>SUM(G40:L40)</f>
        <v>30</v>
      </c>
      <c r="N40" s="8">
        <f>IF($M40=0,"N/A",IF(_xlfn.CEILING.MATH($M40)&lt;18,"INSUFF.",_xlfn.CEILING.MATH($M40)))</f>
        <v>30</v>
      </c>
    </row>
    <row r="41" spans="3:14">
      <c r="C41" s="3" t="s">
        <v>160</v>
      </c>
      <c r="D41" s="4" t="s">
        <v>161</v>
      </c>
      <c r="E41" s="4" t="s">
        <v>162</v>
      </c>
      <c r="F41" s="5" t="s">
        <v>163</v>
      </c>
      <c r="G41" s="6">
        <v>6</v>
      </c>
      <c r="H41" s="6">
        <v>5</v>
      </c>
      <c r="I41" s="6">
        <v>5</v>
      </c>
      <c r="J41" s="6">
        <v>5</v>
      </c>
      <c r="K41" s="6">
        <v>6</v>
      </c>
      <c r="L41" s="6">
        <v>1</v>
      </c>
      <c r="M41" s="7">
        <f>SUM(G41:L41)</f>
        <v>28</v>
      </c>
      <c r="N41" s="8">
        <f>IF($M41=0,"N/A",IF(_xlfn.CEILING.MATH($M41)&lt;18,"INSUFF.",_xlfn.CEILING.MATH($M41)))</f>
        <v>28</v>
      </c>
    </row>
    <row r="42" spans="3:14">
      <c r="C42" s="3" t="s">
        <v>164</v>
      </c>
      <c r="D42" s="4" t="s">
        <v>165</v>
      </c>
      <c r="E42" s="4" t="s">
        <v>166</v>
      </c>
      <c r="F42" s="5" t="s">
        <v>167</v>
      </c>
      <c r="G42" s="6"/>
      <c r="H42" s="6"/>
      <c r="I42" s="6"/>
      <c r="J42" s="6"/>
      <c r="K42" s="6"/>
      <c r="L42" s="6"/>
      <c r="M42" s="7">
        <f>SUM(G42:L42)</f>
        <v>0</v>
      </c>
      <c r="N42" s="8" t="str">
        <f>IF($M42=0,"N/A",IF(_xlfn.CEILING.MATH($M42)&lt;18,"INSUFF.",_xlfn.CEILING.MATH($M42)))</f>
        <v>N/A</v>
      </c>
    </row>
    <row r="43" spans="3:14">
      <c r="C43" s="3" t="s">
        <v>168</v>
      </c>
      <c r="D43" s="4" t="s">
        <v>169</v>
      </c>
      <c r="E43" s="4" t="s">
        <v>170</v>
      </c>
      <c r="F43" s="5" t="s">
        <v>171</v>
      </c>
      <c r="G43" s="6">
        <v>5.5</v>
      </c>
      <c r="H43" s="6">
        <v>5</v>
      </c>
      <c r="I43" s="6">
        <v>2.5</v>
      </c>
      <c r="J43" s="6">
        <v>4.5</v>
      </c>
      <c r="K43" s="6">
        <v>6</v>
      </c>
      <c r="L43" s="6">
        <v>1.5</v>
      </c>
      <c r="M43" s="7">
        <f>SUM(G43:L43)</f>
        <v>25</v>
      </c>
      <c r="N43" s="8">
        <f>IF($M43=0,"N/A",IF(_xlfn.CEILING.MATH($M43)&lt;18,"INSUFF.",_xlfn.CEILING.MATH($M43)))</f>
        <v>25</v>
      </c>
    </row>
    <row r="44" spans="3:14">
      <c r="C44" s="3" t="s">
        <v>172</v>
      </c>
      <c r="D44" s="4" t="s">
        <v>173</v>
      </c>
      <c r="E44" s="4" t="s">
        <v>174</v>
      </c>
      <c r="F44" s="5" t="s">
        <v>175</v>
      </c>
      <c r="G44" s="6">
        <v>6</v>
      </c>
      <c r="H44" s="6">
        <v>5</v>
      </c>
      <c r="I44" s="6">
        <v>5</v>
      </c>
      <c r="J44" s="6">
        <v>5</v>
      </c>
      <c r="K44" s="6">
        <v>6</v>
      </c>
      <c r="L44" s="6">
        <v>3</v>
      </c>
      <c r="M44" s="7">
        <f>SUM(G44:L44)</f>
        <v>30</v>
      </c>
      <c r="N44" s="8">
        <f>IF($M44=0,"N/A",IF(_xlfn.CEILING.MATH($M44)&lt;18,"INSUFF.",_xlfn.CEILING.MATH($M44)))</f>
        <v>30</v>
      </c>
    </row>
    <row r="45" spans="3:14">
      <c r="C45" s="3" t="s">
        <v>176</v>
      </c>
      <c r="D45" s="4" t="s">
        <v>177</v>
      </c>
      <c r="E45" s="4" t="s">
        <v>178</v>
      </c>
      <c r="F45" s="5" t="s">
        <v>179</v>
      </c>
      <c r="G45" s="6">
        <v>4</v>
      </c>
      <c r="H45" s="6">
        <v>4.5</v>
      </c>
      <c r="I45" s="6"/>
      <c r="J45" s="6">
        <v>5</v>
      </c>
      <c r="K45" s="6">
        <v>6</v>
      </c>
      <c r="L45" s="6">
        <v>3</v>
      </c>
      <c r="M45" s="7">
        <f>SUM(G45:L45)</f>
        <v>22.5</v>
      </c>
      <c r="N45" s="8">
        <f>IF($M45=0,"N/A",IF(_xlfn.CEILING.MATH($M45)&lt;18,"INSUFF.",_xlfn.CEILING.MATH($M45)))</f>
        <v>23</v>
      </c>
    </row>
    <row r="46" spans="3:14">
      <c r="C46" s="3" t="s">
        <v>180</v>
      </c>
      <c r="D46" s="4" t="s">
        <v>181</v>
      </c>
      <c r="E46" s="4" t="s">
        <v>182</v>
      </c>
      <c r="F46" s="5" t="s">
        <v>183</v>
      </c>
      <c r="G46" s="6">
        <v>4.5</v>
      </c>
      <c r="H46" s="6">
        <v>5</v>
      </c>
      <c r="I46" s="6">
        <v>4.5</v>
      </c>
      <c r="J46" s="6">
        <v>4</v>
      </c>
      <c r="K46" s="6">
        <v>6</v>
      </c>
      <c r="L46" s="6">
        <v>3</v>
      </c>
      <c r="M46" s="7">
        <f>SUM(G46:L46)</f>
        <v>27</v>
      </c>
      <c r="N46" s="8">
        <f>IF($M46=0,"N/A",IF(_xlfn.CEILING.MATH($M46)&lt;18,"INSUFF.",_xlfn.CEILING.MATH($M46)))</f>
        <v>27</v>
      </c>
    </row>
    <row r="47" spans="3:14">
      <c r="C47" s="3" t="s">
        <v>184</v>
      </c>
      <c r="D47" s="4" t="s">
        <v>185</v>
      </c>
      <c r="E47" s="4" t="s">
        <v>182</v>
      </c>
      <c r="F47" s="5" t="s">
        <v>186</v>
      </c>
      <c r="G47" s="6">
        <v>5.5</v>
      </c>
      <c r="H47" s="6">
        <v>5</v>
      </c>
      <c r="I47" s="6">
        <v>5</v>
      </c>
      <c r="J47" s="6">
        <v>3.5</v>
      </c>
      <c r="K47" s="6">
        <v>3</v>
      </c>
      <c r="L47" s="6">
        <v>3</v>
      </c>
      <c r="M47" s="7">
        <f>SUM(G47:L47)</f>
        <v>25</v>
      </c>
      <c r="N47" s="8">
        <f>IF($M47=0,"N/A",IF(_xlfn.CEILING.MATH($M47)&lt;18,"INSUFF.",_xlfn.CEILING.MATH($M47)))</f>
        <v>25</v>
      </c>
    </row>
    <row r="48" spans="3:14">
      <c r="C48" s="3" t="s">
        <v>187</v>
      </c>
      <c r="D48" s="4"/>
      <c r="E48" s="4" t="s">
        <v>188</v>
      </c>
      <c r="F48" s="5" t="s">
        <v>189</v>
      </c>
      <c r="G48" s="6">
        <v>4</v>
      </c>
      <c r="H48" s="6">
        <v>5</v>
      </c>
      <c r="I48" s="6">
        <v>3</v>
      </c>
      <c r="J48" s="6">
        <v>6</v>
      </c>
      <c r="K48" s="6"/>
      <c r="L48" s="6"/>
      <c r="M48" s="7">
        <f>SUM(G48:L48)</f>
        <v>18</v>
      </c>
      <c r="N48" s="8">
        <f>IF($M48=0,"N/A",IF(_xlfn.CEILING.MATH($M48)&lt;18,"INSUFF.",_xlfn.CEILING.MATH($M48)))</f>
        <v>18</v>
      </c>
    </row>
    <row r="49" spans="3:14">
      <c r="C49" s="3" t="s">
        <v>190</v>
      </c>
      <c r="D49" s="4" t="s">
        <v>191</v>
      </c>
      <c r="E49" s="4" t="s">
        <v>192</v>
      </c>
      <c r="F49" s="5" t="s">
        <v>193</v>
      </c>
      <c r="G49" s="6">
        <v>5.5</v>
      </c>
      <c r="H49" s="6">
        <v>5</v>
      </c>
      <c r="I49" s="6">
        <v>5</v>
      </c>
      <c r="J49" s="6">
        <v>5</v>
      </c>
      <c r="K49" s="6">
        <v>6</v>
      </c>
      <c r="L49" s="6">
        <v>2</v>
      </c>
      <c r="M49" s="7">
        <f>SUM(G49:L49)</f>
        <v>28.5</v>
      </c>
      <c r="N49" s="8">
        <f>IF($M49=0,"N/A",IF(_xlfn.CEILING.MATH($M49)&lt;18,"INSUFF.",_xlfn.CEILING.MATH($M49)))</f>
        <v>29</v>
      </c>
    </row>
    <row r="50" spans="3:14">
      <c r="C50" s="3" t="s">
        <v>194</v>
      </c>
      <c r="D50" s="4" t="s">
        <v>195</v>
      </c>
      <c r="E50" s="4" t="s">
        <v>192</v>
      </c>
      <c r="F50" s="5" t="s">
        <v>196</v>
      </c>
      <c r="G50" s="6">
        <v>4.5</v>
      </c>
      <c r="H50" s="6"/>
      <c r="I50" s="6">
        <v>4</v>
      </c>
      <c r="J50" s="6">
        <v>3</v>
      </c>
      <c r="K50" s="6">
        <v>6</v>
      </c>
      <c r="L50" s="6"/>
      <c r="M50" s="7">
        <f>SUM(G50:L50)</f>
        <v>17.5</v>
      </c>
      <c r="N50" s="8">
        <f>IF($M50=0,"N/A",IF(_xlfn.CEILING.MATH($M50)&lt;18,"INSUFF.",_xlfn.CEILING.MATH($M50)))</f>
        <v>18</v>
      </c>
    </row>
    <row r="51" spans="3:14">
      <c r="C51" s="3" t="s">
        <v>197</v>
      </c>
      <c r="D51" s="4" t="s">
        <v>198</v>
      </c>
      <c r="E51" s="4" t="s">
        <v>199</v>
      </c>
      <c r="F51" s="5" t="s">
        <v>200</v>
      </c>
      <c r="G51" s="6">
        <v>6</v>
      </c>
      <c r="H51" s="6">
        <v>4.5</v>
      </c>
      <c r="I51" s="6">
        <v>4.5</v>
      </c>
      <c r="J51" s="6">
        <v>4.5</v>
      </c>
      <c r="K51" s="6">
        <v>6</v>
      </c>
      <c r="L51" s="6"/>
      <c r="M51" s="7">
        <f>SUM(G51:L51)</f>
        <v>25.5</v>
      </c>
      <c r="N51" s="8">
        <f>IF($M51=0,"N/A",IF(_xlfn.CEILING.MATH($M51)&lt;18,"INSUFF.",_xlfn.CEILING.MATH($M51)))</f>
        <v>26</v>
      </c>
    </row>
    <row r="52" spans="3:14">
      <c r="C52" s="9" t="s">
        <v>201</v>
      </c>
      <c r="D52" s="10" t="s">
        <v>202</v>
      </c>
      <c r="E52" s="10" t="s">
        <v>203</v>
      </c>
      <c r="F52" s="11" t="s">
        <v>204</v>
      </c>
      <c r="G52" s="6">
        <v>5</v>
      </c>
      <c r="H52" s="6">
        <v>5</v>
      </c>
      <c r="I52" s="6">
        <v>3.5</v>
      </c>
      <c r="J52" s="6">
        <v>5</v>
      </c>
      <c r="K52" s="6">
        <v>4</v>
      </c>
      <c r="L52" s="6">
        <v>2</v>
      </c>
      <c r="M52" s="7">
        <f>SUM(G52:L52)</f>
        <v>24.5</v>
      </c>
      <c r="N52" s="8">
        <f>IF($M52=0,"N/A",IF(_xlfn.CEILING.MATH($M52)&lt;18,"INSUFF.",_xlfn.CEILING.MATH($M52)))</f>
        <v>25</v>
      </c>
    </row>
    <row r="53" spans="3:14">
      <c r="C53" s="9" t="s">
        <v>205</v>
      </c>
      <c r="D53" s="10"/>
      <c r="E53" s="10"/>
      <c r="F53" s="11" t="s">
        <v>206</v>
      </c>
      <c r="G53" s="6">
        <v>5.5</v>
      </c>
      <c r="H53" s="6">
        <v>4.5</v>
      </c>
      <c r="I53" s="6">
        <v>2.5</v>
      </c>
      <c r="J53" s="6"/>
      <c r="K53" s="6"/>
      <c r="L53" s="6"/>
      <c r="M53" s="7">
        <f>SUM(G53:L53)</f>
        <v>12.5</v>
      </c>
      <c r="N53" s="8" t="str">
        <f>IF($M53=0,"N/A",IF(_xlfn.CEILING.MATH($M53)&lt;18,"INSUFF.",_xlfn.CEILING.MATH($M53)))</f>
        <v>INSUFF.</v>
      </c>
    </row>
    <row r="54" spans="3:14">
      <c r="C54" s="9" t="s">
        <v>207</v>
      </c>
      <c r="D54" s="10"/>
      <c r="E54" s="10"/>
      <c r="F54" s="11" t="s">
        <v>208</v>
      </c>
      <c r="G54" s="6">
        <v>3</v>
      </c>
      <c r="H54" s="6">
        <v>4.5</v>
      </c>
      <c r="I54" s="6"/>
      <c r="J54" s="6"/>
      <c r="K54" s="6"/>
      <c r="L54" s="6">
        <v>6</v>
      </c>
      <c r="M54" s="7">
        <f>SUM(G54:L54)</f>
        <v>13.5</v>
      </c>
      <c r="N54" s="8" t="str">
        <f>IF($M54=0,"N/A",IF(_xlfn.CEILING.MATH($M54)&lt;18,"INSUFF.",_xlfn.CEILING.MATH($M54)))</f>
        <v>INSUFF.</v>
      </c>
    </row>
    <row r="55" spans="3:14">
      <c r="C55" s="1" t="s">
        <v>0</v>
      </c>
      <c r="D55" s="1" t="s">
        <v>0</v>
      </c>
      <c r="E55" s="1" t="s">
        <v>1</v>
      </c>
      <c r="F55" s="1" t="s">
        <v>2</v>
      </c>
      <c r="G55" s="2" t="s">
        <v>3</v>
      </c>
      <c r="H55" s="2" t="s">
        <v>4</v>
      </c>
      <c r="I55" s="2" t="s">
        <v>5</v>
      </c>
      <c r="J55" s="2" t="s">
        <v>6</v>
      </c>
      <c r="K55" s="2" t="s">
        <v>7</v>
      </c>
      <c r="L55" s="2" t="s">
        <v>8</v>
      </c>
      <c r="M55" s="2" t="s">
        <v>9</v>
      </c>
      <c r="N55" s="2" t="s">
        <v>10</v>
      </c>
    </row>
    <row r="60" spans="3:14">
      <c r="M60" s="12" t="s">
        <v>209</v>
      </c>
      <c r="N60" s="12">
        <f>COUNTIF(M2:M53,"&gt;0")</f>
        <v>47</v>
      </c>
    </row>
    <row r="61" spans="3:14">
      <c r="M61" s="13" t="s">
        <v>210</v>
      </c>
      <c r="N61" s="13">
        <f>AVERAGE($N2:$N54)</f>
        <v>23.976190476190474</v>
      </c>
    </row>
  </sheetData>
  <sheetProtection sheet="1" objects="1" scenarios="1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tabSelected="1" zoomScaleNormal="100" workbookViewId="0">
      <selection activeCell="B30" sqref="B30"/>
    </sheetView>
  </sheetViews>
  <sheetFormatPr defaultColWidth="11.5703125" defaultRowHeight="12.75"/>
  <cols>
    <col min="1" max="1" width="21.85546875" customWidth="1"/>
    <col min="2" max="2" width="19.140625" customWidth="1"/>
  </cols>
  <sheetData>
    <row r="1" spans="1:2">
      <c r="A1" s="1" t="s">
        <v>2</v>
      </c>
      <c r="B1" s="14" t="s">
        <v>211</v>
      </c>
    </row>
    <row r="2" spans="1:2">
      <c r="A2" s="5" t="s">
        <v>151</v>
      </c>
      <c r="B2" s="15">
        <f>Voti!$N38</f>
        <v>22</v>
      </c>
    </row>
    <row r="3" spans="1:2">
      <c r="A3" s="5" t="s">
        <v>179</v>
      </c>
      <c r="B3" s="15">
        <f>Voti!$N45</f>
        <v>23</v>
      </c>
    </row>
    <row r="4" spans="1:2">
      <c r="A4" s="5" t="s">
        <v>183</v>
      </c>
      <c r="B4" s="15">
        <f>Voti!$N46</f>
        <v>27</v>
      </c>
    </row>
    <row r="5" spans="1:2">
      <c r="A5" s="5" t="s">
        <v>193</v>
      </c>
      <c r="B5" s="15">
        <f>Voti!$N49</f>
        <v>29</v>
      </c>
    </row>
    <row r="6" spans="1:2">
      <c r="A6" s="5" t="s">
        <v>56</v>
      </c>
      <c r="B6" s="15">
        <f>Voti!$N13</f>
        <v>25</v>
      </c>
    </row>
    <row r="7" spans="1:2">
      <c r="A7" s="5" t="s">
        <v>200</v>
      </c>
      <c r="B7" s="15">
        <f>Voti!$N51</f>
        <v>26</v>
      </c>
    </row>
    <row r="8" spans="1:2">
      <c r="A8" s="5" t="s">
        <v>155</v>
      </c>
      <c r="B8" s="15">
        <f>Voti!$N39</f>
        <v>23</v>
      </c>
    </row>
    <row r="9" spans="1:2">
      <c r="A9" s="5" t="s">
        <v>33</v>
      </c>
      <c r="B9" s="15">
        <f>Voti!$N7</f>
        <v>19</v>
      </c>
    </row>
    <row r="10" spans="1:2">
      <c r="A10" s="5" t="s">
        <v>68</v>
      </c>
      <c r="B10" s="15">
        <f>Voti!$N16</f>
        <v>24</v>
      </c>
    </row>
    <row r="11" spans="1:2">
      <c r="A11" s="5" t="s">
        <v>14</v>
      </c>
      <c r="B11" s="15">
        <f>Voti!$N2</f>
        <v>27</v>
      </c>
    </row>
    <row r="12" spans="1:2">
      <c r="A12" s="5" t="s">
        <v>18</v>
      </c>
      <c r="B12" s="15">
        <f>Voti!$N3</f>
        <v>29</v>
      </c>
    </row>
    <row r="13" spans="1:2">
      <c r="A13" s="5" t="s">
        <v>76</v>
      </c>
      <c r="B13" s="15">
        <f>Voti!$N18</f>
        <v>25</v>
      </c>
    </row>
    <row r="14" spans="1:2">
      <c r="A14" s="11" t="s">
        <v>206</v>
      </c>
      <c r="B14" s="15" t="str">
        <f>Voti!$N53</f>
        <v>INSUFF.</v>
      </c>
    </row>
    <row r="15" spans="1:2">
      <c r="A15" s="5" t="s">
        <v>29</v>
      </c>
      <c r="B15" s="15" t="str">
        <f>Voti!$N6</f>
        <v>N/A</v>
      </c>
    </row>
    <row r="16" spans="1:2">
      <c r="A16" s="5" t="s">
        <v>95</v>
      </c>
      <c r="B16" s="15">
        <f>Voti!$N23</f>
        <v>21</v>
      </c>
    </row>
    <row r="17" spans="1:2">
      <c r="A17" s="5" t="s">
        <v>52</v>
      </c>
      <c r="B17" s="15">
        <f>Voti!$N12</f>
        <v>20</v>
      </c>
    </row>
    <row r="18" spans="1:2">
      <c r="A18" s="11" t="s">
        <v>204</v>
      </c>
      <c r="B18" s="15">
        <f>Voti!$N52</f>
        <v>25</v>
      </c>
    </row>
    <row r="19" spans="1:2">
      <c r="A19" s="5" t="s">
        <v>44</v>
      </c>
      <c r="B19" s="15">
        <f>Voti!$N10</f>
        <v>26</v>
      </c>
    </row>
    <row r="20" spans="1:2">
      <c r="A20" s="5" t="s">
        <v>143</v>
      </c>
      <c r="B20" s="15" t="str">
        <f>Voti!$N36</f>
        <v>N/A</v>
      </c>
    </row>
    <row r="21" spans="1:2">
      <c r="A21" s="5" t="s">
        <v>84</v>
      </c>
      <c r="B21" s="15">
        <f>Voti!$N20</f>
        <v>25</v>
      </c>
    </row>
    <row r="22" spans="1:2">
      <c r="A22" s="5" t="s">
        <v>72</v>
      </c>
      <c r="B22" s="15">
        <f>Voti!$N17</f>
        <v>28</v>
      </c>
    </row>
    <row r="23" spans="1:2">
      <c r="A23" s="5" t="s">
        <v>127</v>
      </c>
      <c r="B23" s="15" t="str">
        <f>Voti!$N32</f>
        <v>INSUFF.</v>
      </c>
    </row>
    <row r="24" spans="1:2">
      <c r="A24" s="5" t="s">
        <v>106</v>
      </c>
      <c r="B24" s="15">
        <f>Voti!$N26</f>
        <v>26</v>
      </c>
    </row>
    <row r="25" spans="1:2">
      <c r="A25" s="5" t="s">
        <v>41</v>
      </c>
      <c r="B25" s="15">
        <f>Voti!$N9</f>
        <v>26</v>
      </c>
    </row>
    <row r="26" spans="1:2">
      <c r="A26" s="5" t="s">
        <v>110</v>
      </c>
      <c r="B26" s="15">
        <f>Voti!$N27</f>
        <v>24</v>
      </c>
    </row>
    <row r="27" spans="1:2">
      <c r="A27" s="5" t="s">
        <v>171</v>
      </c>
      <c r="B27" s="15">
        <f>Voti!$N43</f>
        <v>25</v>
      </c>
    </row>
    <row r="28" spans="1:2">
      <c r="A28" s="5" t="s">
        <v>186</v>
      </c>
      <c r="B28" s="15">
        <f>Voti!$N47</f>
        <v>25</v>
      </c>
    </row>
    <row r="29" spans="1:2">
      <c r="A29" s="5" t="s">
        <v>25</v>
      </c>
      <c r="B29" s="15" t="str">
        <f>Voti!$N5</f>
        <v>INSUFF.</v>
      </c>
    </row>
    <row r="30" spans="1:2">
      <c r="A30" s="5" t="s">
        <v>113</v>
      </c>
      <c r="B30" s="15" t="str">
        <f>Voti!$N28</f>
        <v>INSUFF.</v>
      </c>
    </row>
    <row r="31" spans="1:2">
      <c r="A31" s="5" t="s">
        <v>189</v>
      </c>
      <c r="B31" s="15">
        <f>Voti!$N48</f>
        <v>18</v>
      </c>
    </row>
    <row r="32" spans="1:2">
      <c r="A32" s="11" t="s">
        <v>208</v>
      </c>
      <c r="B32" s="15" t="str">
        <f>Voti!$N54</f>
        <v>INSUFF.</v>
      </c>
    </row>
    <row r="33" spans="1:2">
      <c r="A33" s="5" t="s">
        <v>102</v>
      </c>
      <c r="B33" s="15" t="str">
        <f>Voti!$N25</f>
        <v>INSUFF.</v>
      </c>
    </row>
    <row r="34" spans="1:2">
      <c r="A34" s="5" t="s">
        <v>163</v>
      </c>
      <c r="B34" s="15">
        <f>Voti!$N41</f>
        <v>28</v>
      </c>
    </row>
    <row r="35" spans="1:2">
      <c r="A35" s="5" t="s">
        <v>64</v>
      </c>
      <c r="B35" s="15">
        <f>Voti!$N15</f>
        <v>20</v>
      </c>
    </row>
    <row r="36" spans="1:2">
      <c r="A36" s="5" t="s">
        <v>80</v>
      </c>
      <c r="B36" s="15">
        <f>Voti!$N19</f>
        <v>22</v>
      </c>
    </row>
    <row r="37" spans="1:2">
      <c r="A37" s="5" t="s">
        <v>139</v>
      </c>
      <c r="B37" s="15">
        <f>Voti!$N35</f>
        <v>28</v>
      </c>
    </row>
    <row r="38" spans="1:2">
      <c r="A38" s="5" t="s">
        <v>175</v>
      </c>
      <c r="B38" s="15">
        <f>Voti!$N44</f>
        <v>30</v>
      </c>
    </row>
    <row r="39" spans="1:2">
      <c r="A39" s="5" t="s">
        <v>147</v>
      </c>
      <c r="B39" s="15" t="str">
        <f>Voti!$N37</f>
        <v>N/A</v>
      </c>
    </row>
    <row r="40" spans="1:2">
      <c r="A40" s="5" t="s">
        <v>131</v>
      </c>
      <c r="B40" s="15">
        <f>Voti!$N33</f>
        <v>18</v>
      </c>
    </row>
    <row r="41" spans="1:2">
      <c r="A41" s="5" t="s">
        <v>91</v>
      </c>
      <c r="B41" s="15">
        <f>Voti!$N22</f>
        <v>22</v>
      </c>
    </row>
    <row r="42" spans="1:2">
      <c r="A42" s="5" t="s">
        <v>123</v>
      </c>
      <c r="B42" s="15">
        <f>Voti!$N31</f>
        <v>22</v>
      </c>
    </row>
    <row r="43" spans="1:2">
      <c r="A43" s="5" t="s">
        <v>135</v>
      </c>
      <c r="B43" s="15" t="str">
        <f>Voti!$N34</f>
        <v>N/A</v>
      </c>
    </row>
    <row r="44" spans="1:2">
      <c r="A44" s="5" t="s">
        <v>60</v>
      </c>
      <c r="B44" s="15">
        <f>Voti!$N14</f>
        <v>23</v>
      </c>
    </row>
    <row r="45" spans="1:2">
      <c r="A45" s="5" t="s">
        <v>22</v>
      </c>
      <c r="B45" s="15">
        <f>Voti!$N4</f>
        <v>22</v>
      </c>
    </row>
    <row r="46" spans="1:2">
      <c r="A46" s="5" t="s">
        <v>88</v>
      </c>
      <c r="B46" s="15">
        <f>Voti!$N21</f>
        <v>30</v>
      </c>
    </row>
    <row r="47" spans="1:2">
      <c r="A47" s="5" t="s">
        <v>48</v>
      </c>
      <c r="B47" s="15">
        <f>Voti!$N11</f>
        <v>23</v>
      </c>
    </row>
    <row r="48" spans="1:2">
      <c r="A48" s="5" t="s">
        <v>37</v>
      </c>
      <c r="B48" s="15">
        <f>Voti!$N8</f>
        <v>19</v>
      </c>
    </row>
    <row r="49" spans="1:2">
      <c r="A49" s="5" t="s">
        <v>159</v>
      </c>
      <c r="B49" s="15">
        <f>Voti!$N40</f>
        <v>30</v>
      </c>
    </row>
    <row r="50" spans="1:2">
      <c r="A50" s="5" t="s">
        <v>167</v>
      </c>
      <c r="B50" s="15" t="str">
        <f>Voti!$N42</f>
        <v>N/A</v>
      </c>
    </row>
    <row r="51" spans="1:2">
      <c r="A51" s="5" t="s">
        <v>116</v>
      </c>
      <c r="B51" s="15">
        <f>Voti!$N29</f>
        <v>22</v>
      </c>
    </row>
    <row r="52" spans="1:2">
      <c r="A52" s="5" t="s">
        <v>98</v>
      </c>
      <c r="B52" s="15">
        <f>Voti!$N24</f>
        <v>18</v>
      </c>
    </row>
    <row r="53" spans="1:2">
      <c r="A53" s="5" t="s">
        <v>196</v>
      </c>
      <c r="B53" s="15">
        <f>Voti!$N50</f>
        <v>18</v>
      </c>
    </row>
    <row r="54" spans="1:2">
      <c r="A54" s="5" t="s">
        <v>119</v>
      </c>
      <c r="B54" s="15">
        <f>Voti!$N30</f>
        <v>24</v>
      </c>
    </row>
  </sheetData>
  <sortState xmlns:xlrd2="http://schemas.microsoft.com/office/spreadsheetml/2017/richdata2" ref="A2:B54">
    <sortCondition ref="A2:A54"/>
  </sortState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GENNARO POSILLO</cp:lastModifiedBy>
  <cp:revision>54</cp:revision>
  <dcterms:created xsi:type="dcterms:W3CDTF">2025-06-20T18:16:42Z</dcterms:created>
  <dcterms:modified xsi:type="dcterms:W3CDTF">2026-04-30T14:45:50Z</dcterms:modified>
  <cp:category/>
  <cp:contentStatus/>
</cp:coreProperties>
</file>