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66925"/>
  <xr:revisionPtr revIDLastSave="1" documentId="11_907319E61D95345FDEC0A272300ECC95BB2C1B8F" xr6:coauthVersionLast="47" xr6:coauthVersionMax="47" xr10:uidLastSave="{46EFFEFF-477D-4793-AC8E-2FFD0851DF93}"/>
  <bookViews>
    <workbookView xWindow="0" yWindow="0" windowWidth="16384" windowHeight="8192" tabRatio="500" firstSheet="1" activeTab="1" xr2:uid="{00000000-000D-0000-FFFF-FFFF00000000}"/>
  </bookViews>
  <sheets>
    <sheet name="I App" sheetId="1" state="hidden" r:id="rId1"/>
    <sheet name="I App pub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29" i="2" l="1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K29" i="1"/>
  <c r="L29" i="1" s="1"/>
  <c r="B29" i="2" s="1"/>
  <c r="K28" i="1"/>
  <c r="L28" i="1" s="1"/>
  <c r="B28" i="2" s="1"/>
  <c r="K27" i="1"/>
  <c r="L27" i="1" s="1"/>
  <c r="B27" i="2" s="1"/>
  <c r="K26" i="1"/>
  <c r="L26" i="1" s="1"/>
  <c r="B26" i="2" s="1"/>
  <c r="K25" i="1"/>
  <c r="L25" i="1" s="1"/>
  <c r="B25" i="2" s="1"/>
  <c r="K24" i="1"/>
  <c r="L24" i="1" s="1"/>
  <c r="B24" i="2" s="1"/>
  <c r="K23" i="1"/>
  <c r="L23" i="1" s="1"/>
  <c r="B23" i="2" s="1"/>
  <c r="K22" i="1"/>
  <c r="L22" i="1" s="1"/>
  <c r="B22" i="2" s="1"/>
  <c r="K21" i="1"/>
  <c r="L21" i="1" s="1"/>
  <c r="B21" i="2" s="1"/>
  <c r="K20" i="1"/>
  <c r="L20" i="1" s="1"/>
  <c r="B20" i="2" s="1"/>
  <c r="K19" i="1"/>
  <c r="L19" i="1" s="1"/>
  <c r="B19" i="2" s="1"/>
  <c r="K18" i="1"/>
  <c r="L18" i="1" s="1"/>
  <c r="B18" i="2" s="1"/>
  <c r="K17" i="1"/>
  <c r="L17" i="1" s="1"/>
  <c r="B17" i="2" s="1"/>
  <c r="K16" i="1"/>
  <c r="L16" i="1" s="1"/>
  <c r="B16" i="2" s="1"/>
  <c r="K15" i="1"/>
  <c r="L15" i="1" s="1"/>
  <c r="B15" i="2" s="1"/>
  <c r="K14" i="1"/>
  <c r="L14" i="1" s="1"/>
  <c r="B14" i="2" s="1"/>
  <c r="K13" i="1"/>
  <c r="L13" i="1" s="1"/>
  <c r="B13" i="2" s="1"/>
  <c r="K12" i="1"/>
  <c r="L12" i="1" s="1"/>
  <c r="B12" i="2" s="1"/>
  <c r="K11" i="1"/>
  <c r="L11" i="1" s="1"/>
  <c r="B11" i="2" s="1"/>
  <c r="K10" i="1"/>
  <c r="L10" i="1" s="1"/>
  <c r="B10" i="2" s="1"/>
  <c r="K9" i="1"/>
  <c r="L9" i="1" s="1"/>
  <c r="B9" i="2" s="1"/>
  <c r="K8" i="1"/>
  <c r="L8" i="1" s="1"/>
  <c r="B8" i="2" s="1"/>
  <c r="K7" i="1"/>
  <c r="L7" i="1" s="1"/>
  <c r="B7" i="2" s="1"/>
  <c r="K6" i="1"/>
  <c r="L6" i="1" s="1"/>
  <c r="B6" i="2" s="1"/>
  <c r="K5" i="1"/>
  <c r="L5" i="1" s="1"/>
  <c r="B5" i="2" s="1"/>
  <c r="K4" i="1"/>
  <c r="L4" i="1" s="1"/>
  <c r="B4" i="2" s="1"/>
  <c r="K3" i="1"/>
  <c r="L3" i="1" s="1"/>
  <c r="B3" i="2" s="1"/>
  <c r="K2" i="1"/>
  <c r="L2" i="1" s="1"/>
  <c r="B2" i="2" s="1"/>
</calcChain>
</file>

<file path=xl/sharedStrings.xml><?xml version="1.0" encoding="utf-8"?>
<sst xmlns="http://schemas.openxmlformats.org/spreadsheetml/2006/main" count="125" uniqueCount="118">
  <si>
    <t>MATRI.</t>
  </si>
  <si>
    <t>COGNOME</t>
  </si>
  <si>
    <t>NOME</t>
  </si>
  <si>
    <t>EMAIL</t>
  </si>
  <si>
    <t>D1 (6)</t>
  </si>
  <si>
    <t>D2 (5)</t>
  </si>
  <si>
    <t>D3 (5)</t>
  </si>
  <si>
    <t>D4 (5)</t>
  </si>
  <si>
    <t>D5 (6)</t>
  </si>
  <si>
    <t>D6 (3)</t>
  </si>
  <si>
    <t>TOT.</t>
  </si>
  <si>
    <t>TOT. ARR.</t>
  </si>
  <si>
    <t>N86005495</t>
  </si>
  <si>
    <t>NARRETTI</t>
  </si>
  <si>
    <t>CLAUDIO JUNIOR</t>
  </si>
  <si>
    <t>c.narretti@studenti.unina.it</t>
  </si>
  <si>
    <t>N86005810</t>
  </si>
  <si>
    <t>NEAMTU</t>
  </si>
  <si>
    <t>NARCIS ALEXANDRU</t>
  </si>
  <si>
    <t>n.neamtu@studenti.unina.it</t>
  </si>
  <si>
    <t>N86005558</t>
  </si>
  <si>
    <t>PAESANO</t>
  </si>
  <si>
    <t>GIUSEPPE</t>
  </si>
  <si>
    <t>giuse.paesano@studenti.unina.it</t>
  </si>
  <si>
    <t>N86005636</t>
  </si>
  <si>
    <t>PALLANTE</t>
  </si>
  <si>
    <t>DOMENICO</t>
  </si>
  <si>
    <t>d.pallante@studenti.unina.it</t>
  </si>
  <si>
    <t>N86005665</t>
  </si>
  <si>
    <t>PALMIERI</t>
  </si>
  <si>
    <t>FABIO</t>
  </si>
  <si>
    <t>fabio.palmieri@studenti.unina.it</t>
  </si>
  <si>
    <t>N86005472</t>
  </si>
  <si>
    <t>PARADISO</t>
  </si>
  <si>
    <t>ASIA FATIMA</t>
  </si>
  <si>
    <t>as.paradiso@studenti.unina.it</t>
  </si>
  <si>
    <t>N86005513</t>
  </si>
  <si>
    <t>PATRUNO</t>
  </si>
  <si>
    <t>LUCA</t>
  </si>
  <si>
    <t>l.patruno@studenti.unina.it</t>
  </si>
  <si>
    <t>N86005503</t>
  </si>
  <si>
    <t>PICCIRILLO</t>
  </si>
  <si>
    <t>CHRISTIAN</t>
  </si>
  <si>
    <t>chr.piccirillo@studenti.unina.it</t>
  </si>
  <si>
    <t>N86005776</t>
  </si>
  <si>
    <t>PIGNATIELLO</t>
  </si>
  <si>
    <t>ANTONIO</t>
  </si>
  <si>
    <t>anto.pignatiello@studenti.unina.it</t>
  </si>
  <si>
    <t>N86005484</t>
  </si>
  <si>
    <t>PISCOPO</t>
  </si>
  <si>
    <t>MATTIA</t>
  </si>
  <si>
    <t>matti.piscopo@studenti.unina.it</t>
  </si>
  <si>
    <t>N86005698</t>
  </si>
  <si>
    <t>POIANA</t>
  </si>
  <si>
    <t>DELIA MARIA</t>
  </si>
  <si>
    <t>d.poiana@studenti.unina.it</t>
  </si>
  <si>
    <t>N86005664</t>
  </si>
  <si>
    <t>PYLYPIV</t>
  </si>
  <si>
    <t>DMYTRO</t>
  </si>
  <si>
    <t>d.pylypiv@studenti.unina.it</t>
  </si>
  <si>
    <t>N86005742</t>
  </si>
  <si>
    <t>RASULO</t>
  </si>
  <si>
    <t>MATTEO ANTONIO</t>
  </si>
  <si>
    <t>mat.rasulo@studenti.unina.it</t>
  </si>
  <si>
    <t>N86005667</t>
  </si>
  <si>
    <t>RESCIGNO</t>
  </si>
  <si>
    <t>DOMENICO PIO</t>
  </si>
  <si>
    <t>do.rescigno@studenti.unina.it</t>
  </si>
  <si>
    <t>N86005735</t>
  </si>
  <si>
    <t>RUSSO</t>
  </si>
  <si>
    <t>LUIGI</t>
  </si>
  <si>
    <t>luigi.russo76@studenti.unina.it</t>
  </si>
  <si>
    <t>N86005540</t>
  </si>
  <si>
    <t>LARA</t>
  </si>
  <si>
    <t>lar.russo@studenti.unina.it</t>
  </si>
  <si>
    <t>N86005724</t>
  </si>
  <si>
    <t>SANNINO</t>
  </si>
  <si>
    <t>LIBERATO</t>
  </si>
  <si>
    <t>N86005507</t>
  </si>
  <si>
    <t>SANSONE</t>
  </si>
  <si>
    <t>luigi.sansone7@studenti.unina.it</t>
  </si>
  <si>
    <t>N86005723</t>
  </si>
  <si>
    <t>SAPONARO</t>
  </si>
  <si>
    <t>KRISTIAN</t>
  </si>
  <si>
    <t>k.saponaro@studenti.unina.it</t>
  </si>
  <si>
    <t>N86005815</t>
  </si>
  <si>
    <t>SCARPATI</t>
  </si>
  <si>
    <t>VIVIANA</t>
  </si>
  <si>
    <t>viv.scarpati@studenti.unina.it</t>
  </si>
  <si>
    <t>N86005583</t>
  </si>
  <si>
    <t>SORRENTINO</t>
  </si>
  <si>
    <t>ALESSANDRO</t>
  </si>
  <si>
    <t>alessandro.sorrentino12@studenti.unina.it</t>
  </si>
  <si>
    <t>N86005488</t>
  </si>
  <si>
    <t>SPINOSA</t>
  </si>
  <si>
    <t>ALFREDO</t>
  </si>
  <si>
    <t>alf.spinosa@studenti.unina.it</t>
  </si>
  <si>
    <t>N86005849</t>
  </si>
  <si>
    <t>STRIANO</t>
  </si>
  <si>
    <t>giuse.striano@studenti.unina.it</t>
  </si>
  <si>
    <t>N86005734</t>
  </si>
  <si>
    <t>TANCREDI</t>
  </si>
  <si>
    <t>NUNZIA</t>
  </si>
  <si>
    <t>nu.tancredi@studenti.unina.it</t>
  </si>
  <si>
    <t>N86005678</t>
  </si>
  <si>
    <t>TATRIELE</t>
  </si>
  <si>
    <t>BRUNO</t>
  </si>
  <si>
    <t>b.tatriele@studenti.unina.it</t>
  </si>
  <si>
    <t>N86005692</t>
  </si>
  <si>
    <t>TELLO</t>
  </si>
  <si>
    <t>an.tello@studenti.unina.it</t>
  </si>
  <si>
    <t>N86005525</t>
  </si>
  <si>
    <t>TORTORA</t>
  </si>
  <si>
    <t>PAOLO</t>
  </si>
  <si>
    <t>paolo.tortora@studenti.unina.it</t>
  </si>
  <si>
    <t>N86005432</t>
  </si>
  <si>
    <t>TRAMPARULO</t>
  </si>
  <si>
    <t>gius.tramparulo@studenti.unina.it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</si>
</sst>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0"/>
      <name val="Arial"/>
      <family val="2"/>
    </font>
    <font>
      <b/>
      <sz val="10"/>
      <name val="Arial"/>
      <family val="2"/>
    </font>
    <font>
      <b/>
      <sz val="10"/>
      <color rgb="FF53026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4C6"/>
        <bgColor rgb="FFDCEFF9"/>
      </patternFill>
    </fill>
    <fill>
      <patternFill patternType="solid">
        <fgColor rgb="FFC0C0C0"/>
        <bgColor rgb="FFCCCCFF"/>
      </patternFill>
    </fill>
    <fill>
      <patternFill patternType="solid">
        <fgColor rgb="FFF6E6F8"/>
        <bgColor rgb="FFDCEFF9"/>
      </patternFill>
    </fill>
    <fill>
      <patternFill patternType="solid">
        <fgColor rgb="FFDCEFF9"/>
        <bgColor rgb="FFCCFFFF"/>
      </patternFill>
    </fill>
    <fill>
      <patternFill patternType="solid">
        <fgColor rgb="FFAADCF7"/>
        <bgColor rgb="FFCCCCFF"/>
      </patternFill>
    </fill>
  </fills>
  <borders count="2">
    <border>
      <left/>
      <right/>
      <top/>
      <bottom/>
      <diagonal/>
    </border>
    <border>
      <left style="thin">
        <color rgb="FF530260"/>
      </left>
      <right style="thin">
        <color rgb="FF530260"/>
      </right>
      <top style="thin">
        <color rgb="FF530260"/>
      </top>
      <bottom style="thin">
        <color rgb="FF53026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2" fillId="3" borderId="1" xfId="0" applyNumberFormat="1" applyFont="1" applyFill="1" applyBorder="1"/>
    <xf numFmtId="0" fontId="2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6E6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FF9"/>
      <rgbColor rgb="FF530260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4C6"/>
      <rgbColor rgb="FFFFFF99"/>
      <rgbColor rgb="FFAADCF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zoomScaleNormal="100" workbookViewId="0">
      <selection activeCell="L2" sqref="L2"/>
    </sheetView>
  </sheetViews>
  <sheetFormatPr defaultColWidth="11.5703125" defaultRowHeight="12.75"/>
  <cols>
    <col min="2" max="2" width="14.28515625" customWidth="1"/>
    <col min="3" max="3" width="19.140625" customWidth="1"/>
    <col min="4" max="4" width="36.57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3" t="s">
        <v>14</v>
      </c>
      <c r="D2" s="4" t="s">
        <v>15</v>
      </c>
      <c r="E2" s="3"/>
      <c r="F2" s="3"/>
      <c r="G2" s="3"/>
      <c r="H2" s="3"/>
      <c r="I2" s="3"/>
      <c r="J2" s="3"/>
      <c r="K2" s="5">
        <f>SUM(E2:J2)</f>
        <v>0</v>
      </c>
      <c r="L2" s="6" t="str">
        <f>IF($K2=0,"N/A",IF(_xlfn.CEILING.MATH($K2)&lt;18,"INSUFF.",_xlfn.CEILING.MATH($K2)))</f>
        <v>N/A</v>
      </c>
    </row>
    <row r="3" spans="1:12">
      <c r="A3" s="2" t="s">
        <v>16</v>
      </c>
      <c r="B3" s="3" t="s">
        <v>17</v>
      </c>
      <c r="C3" s="3" t="s">
        <v>18</v>
      </c>
      <c r="D3" s="4" t="s">
        <v>19</v>
      </c>
      <c r="E3" s="3"/>
      <c r="F3" s="3"/>
      <c r="G3" s="3"/>
      <c r="H3" s="3"/>
      <c r="I3" s="3"/>
      <c r="J3" s="3"/>
      <c r="K3" s="5">
        <f>SUM(E3:J3)</f>
        <v>0</v>
      </c>
      <c r="L3" s="6" t="str">
        <f>IF($K3=0,"N/A",IF(_xlfn.CEILING.MATH($K3)&lt;18,"INSUFF.",_xlfn.CEILING.MATH($K3)))</f>
        <v>N/A</v>
      </c>
    </row>
    <row r="4" spans="1:12">
      <c r="A4" s="2" t="s">
        <v>20</v>
      </c>
      <c r="B4" s="3" t="s">
        <v>21</v>
      </c>
      <c r="C4" s="3" t="s">
        <v>22</v>
      </c>
      <c r="D4" s="4" t="s">
        <v>23</v>
      </c>
      <c r="E4" s="3"/>
      <c r="F4" s="3"/>
      <c r="G4" s="3"/>
      <c r="H4" s="3"/>
      <c r="I4" s="3"/>
      <c r="J4" s="3"/>
      <c r="K4" s="5">
        <f>SUM(E4:J4)</f>
        <v>0</v>
      </c>
      <c r="L4" s="6" t="str">
        <f>IF($K4=0,"N/A",IF(_xlfn.CEILING.MATH($K4)&lt;18,"INSUFF.",_xlfn.CEILING.MATH($K4)))</f>
        <v>N/A</v>
      </c>
    </row>
    <row r="5" spans="1:12">
      <c r="A5" s="2" t="s">
        <v>24</v>
      </c>
      <c r="B5" s="3" t="s">
        <v>25</v>
      </c>
      <c r="C5" s="3" t="s">
        <v>26</v>
      </c>
      <c r="D5" s="4" t="s">
        <v>27</v>
      </c>
      <c r="E5" s="3"/>
      <c r="F5" s="3"/>
      <c r="G5" s="3"/>
      <c r="H5" s="3"/>
      <c r="I5" s="3"/>
      <c r="J5" s="3"/>
      <c r="K5" s="5">
        <f>SUM(E5:J5)</f>
        <v>0</v>
      </c>
      <c r="L5" s="6" t="str">
        <f>IF($K5=0,"N/A",IF(_xlfn.CEILING.MATH($K5)&lt;18,"INSUFF.",_xlfn.CEILING.MATH($K5)))</f>
        <v>N/A</v>
      </c>
    </row>
    <row r="6" spans="1:12">
      <c r="A6" s="2" t="s">
        <v>28</v>
      </c>
      <c r="B6" s="3" t="s">
        <v>29</v>
      </c>
      <c r="C6" s="3" t="s">
        <v>30</v>
      </c>
      <c r="D6" s="4" t="s">
        <v>31</v>
      </c>
      <c r="E6" s="3"/>
      <c r="F6" s="3"/>
      <c r="G6" s="3"/>
      <c r="H6" s="3"/>
      <c r="I6" s="3"/>
      <c r="J6" s="3"/>
      <c r="K6" s="5">
        <f>SUM(E6:J6)</f>
        <v>0</v>
      </c>
      <c r="L6" s="6" t="str">
        <f>IF($K6=0,"N/A",IF(_xlfn.CEILING.MATH($K6)&lt;18,"INSUFF.",_xlfn.CEILING.MATH($K6)))</f>
        <v>N/A</v>
      </c>
    </row>
    <row r="7" spans="1:12">
      <c r="A7" s="2" t="s">
        <v>32</v>
      </c>
      <c r="B7" s="3" t="s">
        <v>33</v>
      </c>
      <c r="C7" s="3" t="s">
        <v>34</v>
      </c>
      <c r="D7" s="4" t="s">
        <v>35</v>
      </c>
      <c r="E7" s="3"/>
      <c r="F7" s="3"/>
      <c r="G7" s="3"/>
      <c r="H7" s="3"/>
      <c r="I7" s="3"/>
      <c r="J7" s="3"/>
      <c r="K7" s="5">
        <f>SUM(E7:J7)</f>
        <v>0</v>
      </c>
      <c r="L7" s="6" t="str">
        <f>IF($K7=0,"N/A",IF(_xlfn.CEILING.MATH($K7)&lt;18,"INSUFF.",_xlfn.CEILING.MATH($K7)))</f>
        <v>N/A</v>
      </c>
    </row>
    <row r="8" spans="1:12">
      <c r="A8" s="2" t="s">
        <v>36</v>
      </c>
      <c r="B8" s="3" t="s">
        <v>37</v>
      </c>
      <c r="C8" s="3" t="s">
        <v>38</v>
      </c>
      <c r="D8" s="4" t="s">
        <v>39</v>
      </c>
      <c r="E8" s="3">
        <v>5</v>
      </c>
      <c r="F8" s="3">
        <v>5</v>
      </c>
      <c r="G8" s="3">
        <v>4.5</v>
      </c>
      <c r="H8" s="3">
        <v>5</v>
      </c>
      <c r="I8" s="3">
        <v>5.5</v>
      </c>
      <c r="J8" s="3">
        <v>2.5</v>
      </c>
      <c r="K8" s="5">
        <f>SUM(E8:J8)</f>
        <v>27.5</v>
      </c>
      <c r="L8" s="6">
        <f>IF($K8=0,"N/A",IF(_xlfn.CEILING.MATH($K8)&lt;18,"INSUFF.",_xlfn.CEILING.MATH($K8)))</f>
        <v>28</v>
      </c>
    </row>
    <row r="9" spans="1:12">
      <c r="A9" s="2" t="s">
        <v>40</v>
      </c>
      <c r="B9" s="3" t="s">
        <v>41</v>
      </c>
      <c r="C9" s="3" t="s">
        <v>42</v>
      </c>
      <c r="D9" s="4" t="s">
        <v>43</v>
      </c>
      <c r="E9" s="3"/>
      <c r="F9" s="3"/>
      <c r="G9" s="3"/>
      <c r="H9" s="3"/>
      <c r="I9" s="3"/>
      <c r="J9" s="3"/>
      <c r="K9" s="5">
        <f>SUM(E9:J9)</f>
        <v>0</v>
      </c>
      <c r="L9" s="6" t="str">
        <f>IF($K9=0,"N/A",IF(_xlfn.CEILING.MATH($K9)&lt;18,"INSUFF.",_xlfn.CEILING.MATH($K9)))</f>
        <v>N/A</v>
      </c>
    </row>
    <row r="10" spans="1:12">
      <c r="A10" s="2" t="s">
        <v>44</v>
      </c>
      <c r="B10" s="3" t="s">
        <v>45</v>
      </c>
      <c r="C10" s="3" t="s">
        <v>46</v>
      </c>
      <c r="D10" s="4" t="s">
        <v>47</v>
      </c>
      <c r="E10" s="3">
        <v>0.1</v>
      </c>
      <c r="F10" s="3"/>
      <c r="G10" s="3"/>
      <c r="H10" s="3"/>
      <c r="I10" s="3"/>
      <c r="J10" s="3"/>
      <c r="K10" s="5">
        <f>SUM(E10:J10)</f>
        <v>0.1</v>
      </c>
      <c r="L10" s="6" t="str">
        <f>IF($K10=0,"N/A",IF(_xlfn.CEILING.MATH($K10)&lt;18,"INSUFF.",_xlfn.CEILING.MATH($K10)))</f>
        <v>INSUFF.</v>
      </c>
    </row>
    <row r="11" spans="1:12">
      <c r="A11" s="2" t="s">
        <v>48</v>
      </c>
      <c r="B11" s="3" t="s">
        <v>49</v>
      </c>
      <c r="C11" s="3" t="s">
        <v>50</v>
      </c>
      <c r="D11" s="4" t="s">
        <v>51</v>
      </c>
      <c r="E11" s="3">
        <v>6</v>
      </c>
      <c r="F11" s="3">
        <v>5</v>
      </c>
      <c r="G11" s="3">
        <v>2.5</v>
      </c>
      <c r="H11" s="3">
        <v>2</v>
      </c>
      <c r="I11" s="3"/>
      <c r="J11" s="3">
        <v>2</v>
      </c>
      <c r="K11" s="5">
        <f>SUM(E11:J11)</f>
        <v>17.5</v>
      </c>
      <c r="L11" s="6">
        <f>IF($K11=0,"N/A",IF(_xlfn.CEILING.MATH($K11)&lt;18,"INSUFF.",_xlfn.CEILING.MATH($K11)))</f>
        <v>18</v>
      </c>
    </row>
    <row r="12" spans="1:12">
      <c r="A12" s="2" t="s">
        <v>52</v>
      </c>
      <c r="B12" s="3" t="s">
        <v>53</v>
      </c>
      <c r="C12" s="3" t="s">
        <v>54</v>
      </c>
      <c r="D12" s="4" t="s">
        <v>55</v>
      </c>
      <c r="E12" s="3">
        <v>5.5</v>
      </c>
      <c r="F12" s="3">
        <v>5</v>
      </c>
      <c r="G12" s="3">
        <v>5</v>
      </c>
      <c r="H12" s="3">
        <v>5</v>
      </c>
      <c r="I12" s="3">
        <v>6</v>
      </c>
      <c r="J12" s="3">
        <v>3</v>
      </c>
      <c r="K12" s="5">
        <f>SUM(E12:J12)</f>
        <v>29.5</v>
      </c>
      <c r="L12" s="6">
        <f>IF($K12=0,"N/A",IF(_xlfn.CEILING.MATH($K12)&lt;18,"INSUFF.",_xlfn.CEILING.MATH($K12)))</f>
        <v>30</v>
      </c>
    </row>
    <row r="13" spans="1:12">
      <c r="A13" s="2" t="s">
        <v>56</v>
      </c>
      <c r="B13" s="3" t="s">
        <v>57</v>
      </c>
      <c r="C13" s="3" t="s">
        <v>58</v>
      </c>
      <c r="D13" s="4" t="s">
        <v>59</v>
      </c>
      <c r="E13" s="3"/>
      <c r="F13" s="3"/>
      <c r="G13" s="3"/>
      <c r="H13" s="3"/>
      <c r="I13" s="3"/>
      <c r="J13" s="3"/>
      <c r="K13" s="5">
        <f>SUM(E13:J13)</f>
        <v>0</v>
      </c>
      <c r="L13" s="6" t="str">
        <f>IF($K13=0,"N/A",IF(_xlfn.CEILING.MATH($K13)&lt;18,"INSUFF.",_xlfn.CEILING.MATH($K13)))</f>
        <v>N/A</v>
      </c>
    </row>
    <row r="14" spans="1:12">
      <c r="A14" s="2" t="s">
        <v>60</v>
      </c>
      <c r="B14" s="3" t="s">
        <v>61</v>
      </c>
      <c r="C14" s="3" t="s">
        <v>62</v>
      </c>
      <c r="D14" s="4" t="s">
        <v>63</v>
      </c>
      <c r="E14" s="3">
        <v>6</v>
      </c>
      <c r="F14" s="3">
        <v>5</v>
      </c>
      <c r="G14" s="3">
        <v>3</v>
      </c>
      <c r="H14" s="3"/>
      <c r="I14" s="3"/>
      <c r="J14" s="3"/>
      <c r="K14" s="5">
        <f>SUM(E14:J14)</f>
        <v>14</v>
      </c>
      <c r="L14" s="6" t="str">
        <f>IF($K14=0,"N/A",IF(_xlfn.CEILING.MATH($K14)&lt;18,"INSUFF.",_xlfn.CEILING.MATH($K14)))</f>
        <v>INSUFF.</v>
      </c>
    </row>
    <row r="15" spans="1:12">
      <c r="A15" s="2" t="s">
        <v>64</v>
      </c>
      <c r="B15" s="3" t="s">
        <v>65</v>
      </c>
      <c r="C15" s="3" t="s">
        <v>66</v>
      </c>
      <c r="D15" s="4" t="s">
        <v>67</v>
      </c>
      <c r="E15" s="3">
        <v>3.5</v>
      </c>
      <c r="F15" s="3">
        <v>3.5</v>
      </c>
      <c r="G15" s="3"/>
      <c r="H15" s="3"/>
      <c r="I15" s="3"/>
      <c r="J15" s="3"/>
      <c r="K15" s="5">
        <f>SUM(E15:J15)</f>
        <v>7</v>
      </c>
      <c r="L15" s="6" t="str">
        <f>IF($K15=0,"N/A",IF(_xlfn.CEILING.MATH($K15)&lt;18,"INSUFF.",_xlfn.CEILING.MATH($K15)))</f>
        <v>INSUFF.</v>
      </c>
    </row>
    <row r="16" spans="1:12">
      <c r="A16" s="2" t="s">
        <v>68</v>
      </c>
      <c r="B16" s="3" t="s">
        <v>69</v>
      </c>
      <c r="C16" s="3" t="s">
        <v>70</v>
      </c>
      <c r="D16" s="4" t="s">
        <v>71</v>
      </c>
      <c r="E16" s="3">
        <v>5</v>
      </c>
      <c r="F16" s="3">
        <v>5</v>
      </c>
      <c r="G16" s="3">
        <v>3</v>
      </c>
      <c r="H16" s="3">
        <v>2</v>
      </c>
      <c r="I16" s="3"/>
      <c r="J16" s="3">
        <v>3</v>
      </c>
      <c r="K16" s="5">
        <f>SUM(E16:J16)</f>
        <v>18</v>
      </c>
      <c r="L16" s="6">
        <f>IF($K16=0,"N/A",IF(_xlfn.CEILING.MATH($K16)&lt;18,"INSUFF.",_xlfn.CEILING.MATH($K16)))</f>
        <v>18</v>
      </c>
    </row>
    <row r="17" spans="1:12">
      <c r="A17" s="2" t="s">
        <v>72</v>
      </c>
      <c r="B17" s="3" t="s">
        <v>69</v>
      </c>
      <c r="C17" s="3" t="s">
        <v>73</v>
      </c>
      <c r="D17" s="4" t="s">
        <v>74</v>
      </c>
      <c r="E17" s="3">
        <v>6</v>
      </c>
      <c r="F17" s="3">
        <v>4</v>
      </c>
      <c r="G17" s="3">
        <v>5</v>
      </c>
      <c r="H17" s="3">
        <v>5</v>
      </c>
      <c r="I17" s="3">
        <v>4</v>
      </c>
      <c r="J17" s="3">
        <v>4</v>
      </c>
      <c r="K17" s="5">
        <f>SUM(E17:J17)</f>
        <v>28</v>
      </c>
      <c r="L17" s="6">
        <f>IF($K17=0,"N/A",IF(_xlfn.CEILING.MATH($K17)&lt;18,"INSUFF.",_xlfn.CEILING.MATH($K17)))</f>
        <v>28</v>
      </c>
    </row>
    <row r="18" spans="1:12">
      <c r="A18" s="2" t="s">
        <v>75</v>
      </c>
      <c r="B18" s="3" t="s">
        <v>76</v>
      </c>
      <c r="C18" s="3" t="s">
        <v>77</v>
      </c>
      <c r="D18" s="4"/>
      <c r="E18" s="3">
        <v>4.5</v>
      </c>
      <c r="F18" s="3">
        <v>4.5</v>
      </c>
      <c r="G18" s="3">
        <v>3.5</v>
      </c>
      <c r="H18" s="3"/>
      <c r="I18" s="3">
        <v>5</v>
      </c>
      <c r="J18" s="3">
        <v>3</v>
      </c>
      <c r="K18" s="5">
        <f>SUM(E18:J18)</f>
        <v>20.5</v>
      </c>
      <c r="L18" s="6">
        <f>IF($K18=0,"N/A",IF(_xlfn.CEILING.MATH($K18)&lt;18,"INSUFF.",_xlfn.CEILING.MATH($K18)))</f>
        <v>21</v>
      </c>
    </row>
    <row r="19" spans="1:12">
      <c r="A19" s="2" t="s">
        <v>78</v>
      </c>
      <c r="B19" s="3" t="s">
        <v>79</v>
      </c>
      <c r="C19" s="3" t="s">
        <v>70</v>
      </c>
      <c r="D19" s="4" t="s">
        <v>80</v>
      </c>
      <c r="E19" s="3">
        <v>5.5</v>
      </c>
      <c r="F19" s="3">
        <v>5</v>
      </c>
      <c r="G19" s="3">
        <v>5</v>
      </c>
      <c r="H19" s="3">
        <v>5</v>
      </c>
      <c r="I19" s="3">
        <v>5</v>
      </c>
      <c r="J19" s="3">
        <v>2</v>
      </c>
      <c r="K19" s="5">
        <f>SUM(E19:J19)</f>
        <v>27.5</v>
      </c>
      <c r="L19" s="6">
        <f>IF($K19=0,"N/A",IF(_xlfn.CEILING.MATH($K19)&lt;18,"INSUFF.",_xlfn.CEILING.MATH($K19)))</f>
        <v>28</v>
      </c>
    </row>
    <row r="20" spans="1:12">
      <c r="A20" s="2" t="s">
        <v>81</v>
      </c>
      <c r="B20" s="3" t="s">
        <v>82</v>
      </c>
      <c r="C20" s="3" t="s">
        <v>83</v>
      </c>
      <c r="D20" s="4" t="s">
        <v>84</v>
      </c>
      <c r="E20" s="3"/>
      <c r="F20" s="3"/>
      <c r="G20" s="3"/>
      <c r="H20" s="3"/>
      <c r="I20" s="3"/>
      <c r="J20" s="3"/>
      <c r="K20" s="5">
        <f>SUM(E20:J20)</f>
        <v>0</v>
      </c>
      <c r="L20" s="6" t="str">
        <f>IF($K20=0,"N/A",IF(_xlfn.CEILING.MATH($K20)&lt;18,"INSUFF.",_xlfn.CEILING.MATH($K20)))</f>
        <v>N/A</v>
      </c>
    </row>
    <row r="21" spans="1:12">
      <c r="A21" s="2" t="s">
        <v>85</v>
      </c>
      <c r="B21" s="3" t="s">
        <v>86</v>
      </c>
      <c r="C21" s="3" t="s">
        <v>87</v>
      </c>
      <c r="D21" s="4" t="s">
        <v>88</v>
      </c>
      <c r="E21" s="3"/>
      <c r="F21" s="3"/>
      <c r="G21" s="3"/>
      <c r="H21" s="3"/>
      <c r="I21" s="3"/>
      <c r="J21" s="3"/>
      <c r="K21" s="5">
        <f>SUM(E21:J21)</f>
        <v>0</v>
      </c>
      <c r="L21" s="6" t="str">
        <f>IF($K21=0,"N/A",IF(_xlfn.CEILING.MATH($K21)&lt;18,"INSUFF.",_xlfn.CEILING.MATH($K21)))</f>
        <v>N/A</v>
      </c>
    </row>
    <row r="22" spans="1:12">
      <c r="A22" s="2" t="s">
        <v>89</v>
      </c>
      <c r="B22" s="3" t="s">
        <v>90</v>
      </c>
      <c r="C22" s="3" t="s">
        <v>91</v>
      </c>
      <c r="D22" s="4" t="s">
        <v>92</v>
      </c>
      <c r="E22" s="3">
        <v>2</v>
      </c>
      <c r="F22" s="3">
        <v>4</v>
      </c>
      <c r="G22" s="3">
        <v>3.5</v>
      </c>
      <c r="H22" s="3"/>
      <c r="I22" s="3"/>
      <c r="J22" s="3">
        <v>3</v>
      </c>
      <c r="K22" s="5">
        <f>SUM(E22:J22)</f>
        <v>12.5</v>
      </c>
      <c r="L22" s="6" t="str">
        <f>IF($K22=0,"N/A",IF(_xlfn.CEILING.MATH($K22)&lt;18,"INSUFF.",_xlfn.CEILING.MATH($K22)))</f>
        <v>INSUFF.</v>
      </c>
    </row>
    <row r="23" spans="1:12">
      <c r="A23" s="2" t="s">
        <v>93</v>
      </c>
      <c r="B23" s="3" t="s">
        <v>94</v>
      </c>
      <c r="C23" s="3" t="s">
        <v>95</v>
      </c>
      <c r="D23" s="4" t="s">
        <v>96</v>
      </c>
      <c r="E23" s="3">
        <v>6</v>
      </c>
      <c r="F23" s="3">
        <v>5</v>
      </c>
      <c r="G23" s="3">
        <v>4</v>
      </c>
      <c r="H23" s="3">
        <v>5</v>
      </c>
      <c r="I23" s="3">
        <v>4</v>
      </c>
      <c r="J23" s="3">
        <v>3</v>
      </c>
      <c r="K23" s="5">
        <f>SUM(E23:J23)</f>
        <v>27</v>
      </c>
      <c r="L23" s="6">
        <f>IF($K23=0,"N/A",IF(_xlfn.CEILING.MATH($K23)&lt;18,"INSUFF.",_xlfn.CEILING.MATH($K23)))</f>
        <v>27</v>
      </c>
    </row>
    <row r="24" spans="1:12">
      <c r="A24" s="2" t="s">
        <v>97</v>
      </c>
      <c r="B24" s="3" t="s">
        <v>98</v>
      </c>
      <c r="C24" s="3" t="s">
        <v>22</v>
      </c>
      <c r="D24" s="4" t="s">
        <v>99</v>
      </c>
      <c r="E24" s="3"/>
      <c r="F24" s="3"/>
      <c r="G24" s="3"/>
      <c r="H24" s="3"/>
      <c r="I24" s="3"/>
      <c r="J24" s="3"/>
      <c r="K24" s="5">
        <f>SUM(E24:J24)</f>
        <v>0</v>
      </c>
      <c r="L24" s="6" t="str">
        <f>IF($K24=0,"N/A",IF(_xlfn.CEILING.MATH($K24)&lt;18,"INSUFF.",_xlfn.CEILING.MATH($K24)))</f>
        <v>N/A</v>
      </c>
    </row>
    <row r="25" spans="1:12">
      <c r="A25" s="2" t="s">
        <v>100</v>
      </c>
      <c r="B25" s="3" t="s">
        <v>101</v>
      </c>
      <c r="C25" s="3" t="s">
        <v>102</v>
      </c>
      <c r="D25" s="4" t="s">
        <v>103</v>
      </c>
      <c r="E25" s="3"/>
      <c r="F25" s="3"/>
      <c r="G25" s="3"/>
      <c r="H25" s="3"/>
      <c r="I25" s="3"/>
      <c r="J25" s="3"/>
      <c r="K25" s="5">
        <f>SUM(E25:J25)</f>
        <v>0</v>
      </c>
      <c r="L25" s="6" t="str">
        <f>IF($K25=0,"N/A",IF(_xlfn.CEILING.MATH($K25)&lt;18,"INSUFF.",_xlfn.CEILING.MATH($K25)))</f>
        <v>N/A</v>
      </c>
    </row>
    <row r="26" spans="1:12">
      <c r="A26" s="2" t="s">
        <v>104</v>
      </c>
      <c r="B26" s="3" t="s">
        <v>105</v>
      </c>
      <c r="C26" s="3" t="s">
        <v>106</v>
      </c>
      <c r="D26" s="4" t="s">
        <v>107</v>
      </c>
      <c r="E26" s="3">
        <v>6</v>
      </c>
      <c r="F26" s="3">
        <v>5</v>
      </c>
      <c r="G26" s="3">
        <v>2.5</v>
      </c>
      <c r="H26" s="3">
        <v>4</v>
      </c>
      <c r="I26" s="3">
        <v>5</v>
      </c>
      <c r="J26" s="3">
        <v>2</v>
      </c>
      <c r="K26" s="5">
        <f>SUM(E26:J26)</f>
        <v>24.5</v>
      </c>
      <c r="L26" s="6">
        <f>IF($K26=0,"N/A",IF(_xlfn.CEILING.MATH($K26)&lt;18,"INSUFF.",_xlfn.CEILING.MATH($K26)))</f>
        <v>25</v>
      </c>
    </row>
    <row r="27" spans="1:12">
      <c r="A27" s="2" t="s">
        <v>108</v>
      </c>
      <c r="B27" s="3" t="s">
        <v>109</v>
      </c>
      <c r="C27" s="3" t="s">
        <v>46</v>
      </c>
      <c r="D27" s="4" t="s">
        <v>110</v>
      </c>
      <c r="E27" s="3">
        <v>5</v>
      </c>
      <c r="F27" s="3">
        <v>5</v>
      </c>
      <c r="G27" s="3">
        <v>4</v>
      </c>
      <c r="H27" s="3">
        <v>3</v>
      </c>
      <c r="I27" s="3"/>
      <c r="J27" s="3">
        <v>4</v>
      </c>
      <c r="K27" s="5">
        <f>SUM(E27:J27)</f>
        <v>21</v>
      </c>
      <c r="L27" s="6">
        <f>IF($K27=0,"N/A",IF(_xlfn.CEILING.MATH($K27)&lt;18,"INSUFF.",_xlfn.CEILING.MATH($K27)))</f>
        <v>21</v>
      </c>
    </row>
    <row r="28" spans="1:12">
      <c r="A28" s="2" t="s">
        <v>111</v>
      </c>
      <c r="B28" s="3" t="s">
        <v>112</v>
      </c>
      <c r="C28" s="3" t="s">
        <v>113</v>
      </c>
      <c r="D28" s="4" t="s">
        <v>114</v>
      </c>
      <c r="E28" s="3">
        <v>5.5</v>
      </c>
      <c r="F28" s="3">
        <v>4.5</v>
      </c>
      <c r="G28" s="3">
        <v>5</v>
      </c>
      <c r="H28" s="3">
        <v>5</v>
      </c>
      <c r="I28" s="3">
        <v>5</v>
      </c>
      <c r="J28" s="3">
        <v>3</v>
      </c>
      <c r="K28" s="5">
        <f>SUM(E28:J28)</f>
        <v>28</v>
      </c>
      <c r="L28" s="6">
        <f>IF($K28=0,"N/A",IF(_xlfn.CEILING.MATH($K28)&lt;18,"INSUFF.",_xlfn.CEILING.MATH($K28)))</f>
        <v>28</v>
      </c>
    </row>
    <row r="29" spans="1:12">
      <c r="A29" s="2" t="s">
        <v>115</v>
      </c>
      <c r="B29" s="3" t="s">
        <v>116</v>
      </c>
      <c r="C29" s="3" t="s">
        <v>22</v>
      </c>
      <c r="D29" s="4" t="s">
        <v>117</v>
      </c>
      <c r="E29" s="3">
        <v>5</v>
      </c>
      <c r="F29" s="3">
        <v>5</v>
      </c>
      <c r="G29" s="3">
        <v>5</v>
      </c>
      <c r="H29" s="3">
        <v>4.5</v>
      </c>
      <c r="I29" s="3">
        <v>5</v>
      </c>
      <c r="J29" s="3"/>
      <c r="K29" s="5">
        <f>SUM(E29:J29)</f>
        <v>24.5</v>
      </c>
      <c r="L29" s="6">
        <f>IF($K29=0,"N/A",IF(_xlfn.CEILING.MATH($K29)&lt;18,"INSUFF.",_xlfn.CEILING.MATH($K29)))</f>
        <v>25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tabSelected="1" zoomScaleNormal="100" workbookViewId="0"/>
  </sheetViews>
  <sheetFormatPr defaultColWidth="11.5703125" defaultRowHeight="12.75"/>
  <sheetData>
    <row r="1" spans="1:2">
      <c r="A1" s="1" t="s">
        <v>0</v>
      </c>
      <c r="B1" s="1" t="s">
        <v>11</v>
      </c>
    </row>
    <row r="2" spans="1:2">
      <c r="A2" s="2" t="str">
        <f>'I App'!A2</f>
        <v>N86005495</v>
      </c>
      <c r="B2" s="6" t="str">
        <f>'I App'!L2</f>
        <v>N/A</v>
      </c>
    </row>
    <row r="3" spans="1:2">
      <c r="A3" s="2" t="str">
        <f>'I App'!A3</f>
        <v>N86005810</v>
      </c>
      <c r="B3" s="6" t="str">
        <f>'I App'!L3</f>
        <v>N/A</v>
      </c>
    </row>
    <row r="4" spans="1:2">
      <c r="A4" s="2" t="str">
        <f>'I App'!A4</f>
        <v>N86005558</v>
      </c>
      <c r="B4" s="6" t="str">
        <f>'I App'!L4</f>
        <v>N/A</v>
      </c>
    </row>
    <row r="5" spans="1:2">
      <c r="A5" s="2" t="str">
        <f>'I App'!A5</f>
        <v>N86005636</v>
      </c>
      <c r="B5" s="6" t="str">
        <f>'I App'!L5</f>
        <v>N/A</v>
      </c>
    </row>
    <row r="6" spans="1:2">
      <c r="A6" s="2" t="str">
        <f>'I App'!A6</f>
        <v>N86005665</v>
      </c>
      <c r="B6" s="6" t="str">
        <f>'I App'!L6</f>
        <v>N/A</v>
      </c>
    </row>
    <row r="7" spans="1:2">
      <c r="A7" s="2" t="str">
        <f>'I App'!A7</f>
        <v>N86005472</v>
      </c>
      <c r="B7" s="6" t="str">
        <f>'I App'!L7</f>
        <v>N/A</v>
      </c>
    </row>
    <row r="8" spans="1:2">
      <c r="A8" s="2" t="str">
        <f>'I App'!A8</f>
        <v>N86005513</v>
      </c>
      <c r="B8" s="6">
        <f>'I App'!L8</f>
        <v>28</v>
      </c>
    </row>
    <row r="9" spans="1:2">
      <c r="A9" s="2" t="str">
        <f>'I App'!A9</f>
        <v>N86005503</v>
      </c>
      <c r="B9" s="6" t="str">
        <f>'I App'!L9</f>
        <v>N/A</v>
      </c>
    </row>
    <row r="10" spans="1:2">
      <c r="A10" s="2" t="str">
        <f>'I App'!A10</f>
        <v>N86005776</v>
      </c>
      <c r="B10" s="6" t="str">
        <f>'I App'!L10</f>
        <v>INSUFF.</v>
      </c>
    </row>
    <row r="11" spans="1:2">
      <c r="A11" s="2" t="str">
        <f>'I App'!A11</f>
        <v>N86005484</v>
      </c>
      <c r="B11" s="6">
        <f>'I App'!L11</f>
        <v>18</v>
      </c>
    </row>
    <row r="12" spans="1:2">
      <c r="A12" s="2" t="str">
        <f>'I App'!A12</f>
        <v>N86005698</v>
      </c>
      <c r="B12" s="6">
        <f>'I App'!L12</f>
        <v>30</v>
      </c>
    </row>
    <row r="13" spans="1:2">
      <c r="A13" s="2" t="str">
        <f>'I App'!A13</f>
        <v>N86005664</v>
      </c>
      <c r="B13" s="6" t="str">
        <f>'I App'!L13</f>
        <v>N/A</v>
      </c>
    </row>
    <row r="14" spans="1:2">
      <c r="A14" s="2" t="str">
        <f>'I App'!A14</f>
        <v>N86005742</v>
      </c>
      <c r="B14" s="6" t="str">
        <f>'I App'!L14</f>
        <v>INSUFF.</v>
      </c>
    </row>
    <row r="15" spans="1:2">
      <c r="A15" s="2" t="str">
        <f>'I App'!A15</f>
        <v>N86005667</v>
      </c>
      <c r="B15" s="6" t="str">
        <f>'I App'!L15</f>
        <v>INSUFF.</v>
      </c>
    </row>
    <row r="16" spans="1:2">
      <c r="A16" s="2" t="str">
        <f>'I App'!A16</f>
        <v>N86005735</v>
      </c>
      <c r="B16" s="6">
        <f>'I App'!L16</f>
        <v>18</v>
      </c>
    </row>
    <row r="17" spans="1:2">
      <c r="A17" s="2" t="str">
        <f>'I App'!A17</f>
        <v>N86005540</v>
      </c>
      <c r="B17" s="6">
        <f>'I App'!L17</f>
        <v>28</v>
      </c>
    </row>
    <row r="18" spans="1:2">
      <c r="A18" s="2" t="str">
        <f>'I App'!A18</f>
        <v>N86005724</v>
      </c>
      <c r="B18" s="6">
        <f>'I App'!L18</f>
        <v>21</v>
      </c>
    </row>
    <row r="19" spans="1:2">
      <c r="A19" s="2" t="str">
        <f>'I App'!A19</f>
        <v>N86005507</v>
      </c>
      <c r="B19" s="6">
        <f>'I App'!L19</f>
        <v>28</v>
      </c>
    </row>
    <row r="20" spans="1:2">
      <c r="A20" s="2" t="str">
        <f>'I App'!A20</f>
        <v>N86005723</v>
      </c>
      <c r="B20" s="6" t="str">
        <f>'I App'!L20</f>
        <v>N/A</v>
      </c>
    </row>
    <row r="21" spans="1:2">
      <c r="A21" s="2" t="str">
        <f>'I App'!A21</f>
        <v>N86005815</v>
      </c>
      <c r="B21" s="6" t="str">
        <f>'I App'!L21</f>
        <v>N/A</v>
      </c>
    </row>
    <row r="22" spans="1:2">
      <c r="A22" s="2" t="str">
        <f>'I App'!A22</f>
        <v>N86005583</v>
      </c>
      <c r="B22" s="6" t="str">
        <f>'I App'!L22</f>
        <v>INSUFF.</v>
      </c>
    </row>
    <row r="23" spans="1:2">
      <c r="A23" s="2" t="str">
        <f>'I App'!A23</f>
        <v>N86005488</v>
      </c>
      <c r="B23" s="6">
        <f>'I App'!L23</f>
        <v>27</v>
      </c>
    </row>
    <row r="24" spans="1:2">
      <c r="A24" s="2" t="str">
        <f>'I App'!A24</f>
        <v>N86005849</v>
      </c>
      <c r="B24" s="6" t="str">
        <f>'I App'!L24</f>
        <v>N/A</v>
      </c>
    </row>
    <row r="25" spans="1:2">
      <c r="A25" s="2" t="str">
        <f>'I App'!A25</f>
        <v>N86005734</v>
      </c>
      <c r="B25" s="6" t="str">
        <f>'I App'!L25</f>
        <v>N/A</v>
      </c>
    </row>
    <row r="26" spans="1:2">
      <c r="A26" s="2" t="str">
        <f>'I App'!A26</f>
        <v>N86005678</v>
      </c>
      <c r="B26" s="6">
        <f>'I App'!L26</f>
        <v>25</v>
      </c>
    </row>
    <row r="27" spans="1:2">
      <c r="A27" s="2" t="str">
        <f>'I App'!A27</f>
        <v>N86005692</v>
      </c>
      <c r="B27" s="6">
        <f>'I App'!L27</f>
        <v>21</v>
      </c>
    </row>
    <row r="28" spans="1:2">
      <c r="A28" s="2" t="str">
        <f>'I App'!A28</f>
        <v>N86005525</v>
      </c>
      <c r="B28" s="6">
        <f>'I App'!L28</f>
        <v>28</v>
      </c>
    </row>
    <row r="29" spans="1:2">
      <c r="A29" s="2" t="str">
        <f>'I App'!A29</f>
        <v>N86005432</v>
      </c>
      <c r="B29" s="6">
        <f>'I App'!L29</f>
        <v>25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CALI'</cp:lastModifiedBy>
  <cp:revision>72</cp:revision>
  <dcterms:created xsi:type="dcterms:W3CDTF">2025-06-20T18:16:42Z</dcterms:created>
  <dcterms:modified xsi:type="dcterms:W3CDTF">2025-06-26T00:40:33Z</dcterms:modified>
  <cp:category/>
  <cp:contentStatus/>
</cp:coreProperties>
</file>